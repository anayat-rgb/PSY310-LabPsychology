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8_{68B10117-3DD4-1948-83A0-CA48FF953595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Raw Data" sheetId="1" r:id="rId1"/>
    <sheet name="Analysis" sheetId="2" r:id="rId2"/>
    <sheet name="Graph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1" i="3" l="1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D103" i="3" s="1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C111" i="2"/>
  <c r="C110" i="2"/>
  <c r="C109" i="2"/>
  <c r="C107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I89" i="2" s="1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A120" i="2" s="1"/>
  <c r="I4" i="2"/>
  <c r="H4" i="2"/>
  <c r="F2" i="1"/>
  <c r="H89" i="2" l="1"/>
  <c r="H50" i="2"/>
  <c r="I50" i="2"/>
  <c r="H30" i="2"/>
  <c r="I30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H94" i="2"/>
  <c r="I94" i="2"/>
  <c r="H93" i="2"/>
  <c r="I93" i="2"/>
  <c r="H92" i="2"/>
  <c r="I92" i="2"/>
  <c r="I91" i="2"/>
  <c r="H91" i="2"/>
  <c r="H90" i="2"/>
  <c r="I90" i="2"/>
  <c r="I88" i="2"/>
  <c r="H88" i="2"/>
  <c r="H87" i="2"/>
  <c r="I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H75" i="2"/>
  <c r="I75" i="2"/>
  <c r="H74" i="2"/>
  <c r="I74" i="2"/>
  <c r="H73" i="2"/>
  <c r="I73" i="2"/>
  <c r="I72" i="2"/>
  <c r="H72" i="2"/>
  <c r="H71" i="2"/>
  <c r="I71" i="2"/>
  <c r="I70" i="2"/>
  <c r="H70" i="2"/>
  <c r="H69" i="2"/>
  <c r="I69" i="2"/>
  <c r="I68" i="2"/>
  <c r="H68" i="2"/>
  <c r="I67" i="2"/>
  <c r="H67" i="2"/>
  <c r="I66" i="2"/>
  <c r="H66" i="2"/>
  <c r="I65" i="2"/>
  <c r="H65" i="2"/>
  <c r="I64" i="2"/>
  <c r="H64" i="2"/>
  <c r="H63" i="2"/>
  <c r="I63" i="2"/>
  <c r="H62" i="2"/>
  <c r="I62" i="2"/>
  <c r="H61" i="2"/>
  <c r="I61" i="2"/>
  <c r="H60" i="2"/>
  <c r="I60" i="2"/>
  <c r="H59" i="2"/>
  <c r="I59" i="2"/>
  <c r="H58" i="2"/>
  <c r="I58" i="2"/>
  <c r="H57" i="2"/>
  <c r="I57" i="2"/>
  <c r="I56" i="2"/>
  <c r="H56" i="2"/>
  <c r="I55" i="2"/>
  <c r="H55" i="2"/>
  <c r="H54" i="2"/>
  <c r="I54" i="2"/>
  <c r="H53" i="2"/>
  <c r="I53" i="2"/>
  <c r="H52" i="2"/>
  <c r="I52" i="2"/>
  <c r="H51" i="2"/>
  <c r="I51" i="2"/>
  <c r="H49" i="2"/>
  <c r="I49" i="2"/>
  <c r="H48" i="2"/>
  <c r="I48" i="2"/>
  <c r="I47" i="2"/>
  <c r="H47" i="2"/>
  <c r="I46" i="2"/>
  <c r="H46" i="2"/>
  <c r="I45" i="2"/>
  <c r="H45" i="2"/>
  <c r="I44" i="2"/>
  <c r="H44" i="2"/>
  <c r="H43" i="2"/>
  <c r="I43" i="2"/>
  <c r="I42" i="2"/>
  <c r="H42" i="2"/>
  <c r="H41" i="2"/>
  <c r="I41" i="2"/>
  <c r="I40" i="2"/>
  <c r="H40" i="2"/>
  <c r="I39" i="2"/>
  <c r="H39" i="2"/>
  <c r="H38" i="2"/>
  <c r="I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H29" i="2"/>
  <c r="I29" i="2"/>
  <c r="H28" i="2"/>
  <c r="I28" i="2"/>
  <c r="I27" i="2"/>
  <c r="H27" i="2"/>
  <c r="I26" i="2"/>
  <c r="H26" i="2"/>
  <c r="H25" i="2"/>
  <c r="I25" i="2"/>
  <c r="I24" i="2"/>
  <c r="H24" i="2"/>
  <c r="I23" i="2"/>
  <c r="H23" i="2"/>
  <c r="H22" i="2"/>
  <c r="I22" i="2"/>
  <c r="I21" i="2"/>
  <c r="H21" i="2"/>
  <c r="I20" i="2"/>
  <c r="H20" i="2"/>
  <c r="H19" i="2"/>
  <c r="I19" i="2"/>
  <c r="I18" i="2"/>
  <c r="H18" i="2"/>
  <c r="I17" i="2"/>
  <c r="H17" i="2"/>
  <c r="H16" i="2"/>
  <c r="I16" i="2"/>
  <c r="I15" i="2"/>
  <c r="H15" i="2"/>
  <c r="I14" i="2"/>
  <c r="H14" i="2"/>
  <c r="H13" i="2"/>
  <c r="I13" i="2"/>
  <c r="I12" i="2"/>
  <c r="H12" i="2"/>
  <c r="I11" i="2"/>
  <c r="H11" i="2"/>
  <c r="H10" i="2"/>
  <c r="I10" i="2"/>
  <c r="H9" i="2"/>
  <c r="I9" i="2"/>
  <c r="I8" i="2"/>
  <c r="H8" i="2"/>
  <c r="H7" i="2"/>
  <c r="I7" i="2"/>
  <c r="I6" i="2"/>
  <c r="H6" i="2"/>
  <c r="H5" i="2"/>
  <c r="I5" i="2"/>
  <c r="C108" i="2"/>
  <c r="A116" i="2"/>
  <c r="A117" i="2"/>
  <c r="A118" i="2"/>
  <c r="A119" i="2"/>
  <c r="B131" i="2" l="1"/>
  <c r="C139" i="2"/>
  <c r="B139" i="2"/>
  <c r="B130" i="2"/>
  <c r="C130" i="2"/>
  <c r="B132" i="2"/>
  <c r="B140" i="2"/>
  <c r="C136" i="2"/>
  <c r="B137" i="2"/>
  <c r="C137" i="2"/>
  <c r="B138" i="2"/>
  <c r="C138" i="2"/>
  <c r="C140" i="2"/>
  <c r="C131" i="2"/>
  <c r="C132" i="2"/>
  <c r="C133" i="2"/>
  <c r="B134" i="2"/>
  <c r="C134" i="2"/>
  <c r="B135" i="2"/>
  <c r="C135" i="2"/>
  <c r="B136" i="2"/>
  <c r="B143" i="2"/>
  <c r="C143" i="2"/>
  <c r="C142" i="2"/>
  <c r="B142" i="2"/>
  <c r="B141" i="2"/>
  <c r="B133" i="2"/>
  <c r="C141" i="2"/>
  <c r="B116" i="2"/>
  <c r="C116" i="2"/>
  <c r="B117" i="2"/>
  <c r="C117" i="2"/>
  <c r="B118" i="2"/>
  <c r="C118" i="2"/>
  <c r="B119" i="2"/>
  <c r="C119" i="2"/>
  <c r="B120" i="2"/>
  <c r="C120" i="2"/>
  <c r="D122" i="2" l="1"/>
  <c r="B149" i="2" l="1"/>
  <c r="B148" i="2"/>
</calcChain>
</file>

<file path=xl/sharedStrings.xml><?xml version="1.0" encoding="utf-8"?>
<sst xmlns="http://schemas.openxmlformats.org/spreadsheetml/2006/main" count="781" uniqueCount="71">
  <si>
    <t>trials.thisTrialN</t>
  </si>
  <si>
    <t>trials.stepSize</t>
  </si>
  <si>
    <t>trials.intensity</t>
  </si>
  <si>
    <t>thisRow.t</t>
  </si>
  <si>
    <t>notes</t>
  </si>
  <si>
    <t>piloting</t>
  </si>
  <si>
    <t>Instructions.started</t>
  </si>
  <si>
    <t>text.started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</si>
  <si>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</si>
  <si>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</si>
  <si>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</si>
  <si>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</si>
  <si>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</si>
  <si>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</si>
  <si>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</si>
  <si>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</si>
  <si>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grating.started</t>
  </si>
  <si>
    <t>key_resp.started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</si>
  <si>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</si>
  <si>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</si>
  <si>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</si>
  <si>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</si>
  <si>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</si>
  <si>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</si>
  <si>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</si>
  <si>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thank_you.started</t>
  </si>
  <si>
    <t>text_2.started</t>
  </si>
  <si>
    <t>text_2.stopped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</si>
  <si>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</si>
  <si>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</si>
  <si>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</si>
  <si>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</si>
  <si>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</si>
  <si>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</si>
  <si>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</si>
  <si>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</si>
  <si>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</si>
  <si>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</si>
  <si>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sc1</t>
  </si>
  <si>
    <t>2026-09-09_01h17.37.730</t>
  </si>
  <si>
    <t>staircase task</t>
  </si>
  <si>
    <t>2026.2.3</t>
  </si>
  <si>
    <t>2026-09-09 01h17.37.783528 +0530</t>
  </si>
  <si>
    <t>left</t>
  </si>
  <si>
    <t>right</t>
  </si>
  <si>
    <t>Adaptive Staircase — Difference Threshold Analysis</t>
  </si>
  <si>
    <t>Trial</t>
  </si>
  <si>
    <t>Tilt intensity (deg)</t>
  </si>
  <si>
    <t>Step size</t>
  </si>
  <si>
    <t>Correct answer</t>
  </si>
  <si>
    <t>Response</t>
  </si>
  <si>
    <t>Response correct (1/0)</t>
  </si>
  <si>
    <t>Is 1-to-0 reversal</t>
  </si>
  <si>
    <t>Reversal no.</t>
  </si>
  <si>
    <t>Tilt at reversal (deg)</t>
  </si>
  <si>
    <t>SUMMARY</t>
  </si>
  <si>
    <t>Total trials</t>
  </si>
  <si>
    <t>Total 1-to-0 reversals</t>
  </si>
  <si>
    <t>Overall accuracy</t>
  </si>
  <si>
    <t>Number correct</t>
  </si>
  <si>
    <t>Mean tilt, all trials (deg)</t>
  </si>
  <si>
    <t>FINAL FIVE 1-TO-0 REVERSALS</t>
  </si>
  <si>
    <t>Trial no.</t>
  </si>
  <si>
    <t>Mean of final five reversals =</t>
  </si>
  <si>
    <t>degrees of tilt</t>
  </si>
  <si>
    <t>CHART DATA - all 1-to-0 reversals</t>
  </si>
  <si>
    <t>Tilt (deg)</t>
  </si>
  <si>
    <t>CHART DATA - threshold line</t>
  </si>
  <si>
    <t>Threshold (deg)</t>
  </si>
  <si>
    <t>Tilt</t>
  </si>
  <si>
    <t>Total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</si>
</sst>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5" fillId="0" borderId="0" xfId="0" applyFont="1"/>
    <xf numFmtId="2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Tilt of Grating across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Graphs!$B$2:$B$101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Graphs!$C$2:$C$101</c:f>
              <c:numCache>
                <c:formatCode>General</c:formatCode>
                <c:ptCount val="100"/>
                <c:pt idx="0">
                  <c:v>-10</c:v>
                </c:pt>
                <c:pt idx="1">
                  <c:v>-8</c:v>
                </c:pt>
                <c:pt idx="2">
                  <c:v>6</c:v>
                </c:pt>
                <c:pt idx="3">
                  <c:v>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-3</c:v>
                </c:pt>
                <c:pt idx="11">
                  <c:v>4</c:v>
                </c:pt>
                <c:pt idx="12">
                  <c:v>-4</c:v>
                </c:pt>
                <c:pt idx="13">
                  <c:v>4</c:v>
                </c:pt>
                <c:pt idx="14">
                  <c:v>3</c:v>
                </c:pt>
                <c:pt idx="15">
                  <c:v>-3</c:v>
                </c:pt>
                <c:pt idx="16">
                  <c:v>-3</c:v>
                </c:pt>
                <c:pt idx="17">
                  <c:v>-3.5</c:v>
                </c:pt>
                <c:pt idx="18">
                  <c:v>-4</c:v>
                </c:pt>
                <c:pt idx="19">
                  <c:v>4</c:v>
                </c:pt>
                <c:pt idx="20">
                  <c:v>4</c:v>
                </c:pt>
                <c:pt idx="21">
                  <c:v>3.5</c:v>
                </c:pt>
                <c:pt idx="22">
                  <c:v>-3.5</c:v>
                </c:pt>
                <c:pt idx="23">
                  <c:v>3.5</c:v>
                </c:pt>
                <c:pt idx="24">
                  <c:v>3</c:v>
                </c:pt>
                <c:pt idx="25">
                  <c:v>-3</c:v>
                </c:pt>
                <c:pt idx="26">
                  <c:v>3.5</c:v>
                </c:pt>
                <c:pt idx="27">
                  <c:v>-3.5</c:v>
                </c:pt>
                <c:pt idx="28">
                  <c:v>-3.5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-2.5</c:v>
                </c:pt>
                <c:pt idx="33">
                  <c:v>-2.5</c:v>
                </c:pt>
                <c:pt idx="34">
                  <c:v>-2.5</c:v>
                </c:pt>
                <c:pt idx="35">
                  <c:v>-2</c:v>
                </c:pt>
                <c:pt idx="36">
                  <c:v>2</c:v>
                </c:pt>
                <c:pt idx="37">
                  <c:v>-2.5</c:v>
                </c:pt>
                <c:pt idx="38">
                  <c:v>2.5</c:v>
                </c:pt>
                <c:pt idx="39">
                  <c:v>2.5</c:v>
                </c:pt>
                <c:pt idx="40">
                  <c:v>-2</c:v>
                </c:pt>
                <c:pt idx="41">
                  <c:v>2</c:v>
                </c:pt>
                <c:pt idx="42">
                  <c:v>2</c:v>
                </c:pt>
                <c:pt idx="43">
                  <c:v>-2.5</c:v>
                </c:pt>
                <c:pt idx="44">
                  <c:v>-2.5</c:v>
                </c:pt>
                <c:pt idx="45">
                  <c:v>2.5</c:v>
                </c:pt>
                <c:pt idx="46">
                  <c:v>2</c:v>
                </c:pt>
                <c:pt idx="47">
                  <c:v>2</c:v>
                </c:pt>
                <c:pt idx="48">
                  <c:v>-2.5</c:v>
                </c:pt>
                <c:pt idx="49">
                  <c:v>2.5</c:v>
                </c:pt>
                <c:pt idx="50">
                  <c:v>-2.5</c:v>
                </c:pt>
                <c:pt idx="51">
                  <c:v>2</c:v>
                </c:pt>
                <c:pt idx="52">
                  <c:v>-2</c:v>
                </c:pt>
                <c:pt idx="53">
                  <c:v>2</c:v>
                </c:pt>
                <c:pt idx="54">
                  <c:v>1.5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-1.5</c:v>
                </c:pt>
                <c:pt idx="59">
                  <c:v>-1.5</c:v>
                </c:pt>
                <c:pt idx="60">
                  <c:v>-1.5</c:v>
                </c:pt>
                <c:pt idx="61">
                  <c:v>1</c:v>
                </c:pt>
                <c:pt idx="62">
                  <c:v>-1.5</c:v>
                </c:pt>
                <c:pt idx="63">
                  <c:v>1.5</c:v>
                </c:pt>
                <c:pt idx="64">
                  <c:v>-1.5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1.5</c:v>
                </c:pt>
                <c:pt idx="69">
                  <c:v>2</c:v>
                </c:pt>
                <c:pt idx="70">
                  <c:v>2.5</c:v>
                </c:pt>
                <c:pt idx="71">
                  <c:v>-3</c:v>
                </c:pt>
                <c:pt idx="72">
                  <c:v>3</c:v>
                </c:pt>
                <c:pt idx="73">
                  <c:v>3.5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3.5</c:v>
                </c:pt>
                <c:pt idx="78">
                  <c:v>-4</c:v>
                </c:pt>
                <c:pt idx="79">
                  <c:v>4</c:v>
                </c:pt>
                <c:pt idx="80">
                  <c:v>4</c:v>
                </c:pt>
                <c:pt idx="81">
                  <c:v>-3.5</c:v>
                </c:pt>
                <c:pt idx="82">
                  <c:v>3.5</c:v>
                </c:pt>
                <c:pt idx="83">
                  <c:v>-3.5</c:v>
                </c:pt>
                <c:pt idx="84">
                  <c:v>3</c:v>
                </c:pt>
                <c:pt idx="85">
                  <c:v>3</c:v>
                </c:pt>
                <c:pt idx="86">
                  <c:v>-3.5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-3.5</c:v>
                </c:pt>
                <c:pt idx="91">
                  <c:v>-3.5</c:v>
                </c:pt>
                <c:pt idx="92">
                  <c:v>-3.5</c:v>
                </c:pt>
                <c:pt idx="93">
                  <c:v>-3</c:v>
                </c:pt>
                <c:pt idx="94">
                  <c:v>3</c:v>
                </c:pt>
                <c:pt idx="95">
                  <c:v>-3.5</c:v>
                </c:pt>
                <c:pt idx="96">
                  <c:v>3.5</c:v>
                </c:pt>
                <c:pt idx="97">
                  <c:v>-3.5</c:v>
                </c:pt>
                <c:pt idx="98">
                  <c:v>-3</c:v>
                </c:pt>
                <c:pt idx="99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B-484E-B792-147294B5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59751"/>
        <c:axId val="72584945"/>
      </c:scatterChart>
      <c:valAx>
        <c:axId val="98659751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84945"/>
        <c:crosses val="autoZero"/>
        <c:crossBetween val="midCat"/>
      </c:valAx>
      <c:valAx>
        <c:axId val="72584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Tilt  (- = left tilt, + = right tilt)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597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Response Accuracy Over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Graphs!$B$2:$B$101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Graphs!$D$2:$D$101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5-9145-A7C1-3833BC5E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6290"/>
        <c:axId val="94958742"/>
      </c:scatterChart>
      <c:valAx>
        <c:axId val="58956290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58742"/>
        <c:crosses val="autoZero"/>
        <c:crossBetween val="midCat"/>
      </c:valAx>
      <c:valAx>
        <c:axId val="94958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Response Accuracy  (1 = correct, 0 = incorrect)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562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15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13</xdr:col>
      <xdr:colOff>507600</xdr:colOff>
      <xdr:row>32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3"/>
  <sheetViews>
    <sheetView zoomScaleNormal="100" workbookViewId="0">
      <pane ySplit="1" topLeftCell="A12" activePane="bottomLeft" state="frozen"/>
      <selection pane="bottomLeft"/>
    </sheetView>
  </sheetViews>
  <sheetFormatPr baseColWidth="10" defaultColWidth="8.6640625" defaultRowHeight="15" x14ac:dyDescent="0.2"/>
  <cols>
    <col min="1" max="37" width="15" customWidth="1"/>
  </cols>
  <sheetData>
    <row r="1" spans="1:3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/>
      <c r="B2" s="2"/>
      <c r="C2" s="2"/>
      <c r="D2" s="2"/>
      <c r="E2" s="2"/>
      <c r="F2" s="2" t="b">
        <f>FALSE()</f>
        <v>0</v>
      </c>
      <c r="G2" s="2">
        <v>2.00105416588485E-2</v>
      </c>
      <c r="H2" s="2">
        <v>3.6611583316698601E-2</v>
      </c>
      <c r="I2" s="2">
        <v>3.6611583316698601E-2</v>
      </c>
      <c r="J2" s="2">
        <v>7.42704716662411</v>
      </c>
      <c r="K2" s="2" t="s">
        <v>37</v>
      </c>
      <c r="L2" s="2">
        <v>7.3752972916699999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38</v>
      </c>
      <c r="AE2" s="2">
        <v>1</v>
      </c>
      <c r="AF2" s="2" t="s">
        <v>39</v>
      </c>
      <c r="AG2" s="2" t="s">
        <v>40</v>
      </c>
      <c r="AH2" s="2"/>
      <c r="AI2" s="2" t="s">
        <v>41</v>
      </c>
      <c r="AJ2" s="2">
        <v>59.761224027050801</v>
      </c>
      <c r="AK2" s="2" t="s">
        <v>42</v>
      </c>
    </row>
    <row r="3" spans="1:37" x14ac:dyDescent="0.2">
      <c r="A3" s="2">
        <v>0</v>
      </c>
      <c r="B3" s="2">
        <v>2</v>
      </c>
      <c r="C3" s="2">
        <v>10</v>
      </c>
      <c r="D3" s="2">
        <v>7.4361775416182399</v>
      </c>
      <c r="E3" s="2"/>
      <c r="F3" s="2"/>
      <c r="G3" s="2"/>
      <c r="H3" s="2"/>
      <c r="I3" s="2"/>
      <c r="J3" s="2"/>
      <c r="K3" s="2"/>
      <c r="L3" s="2"/>
      <c r="M3" s="2"/>
      <c r="N3" s="2">
        <v>7.42732729169074</v>
      </c>
      <c r="O3" s="2">
        <v>7.4361775416182399</v>
      </c>
      <c r="P3" s="2">
        <v>8.0028824167093298</v>
      </c>
      <c r="Q3" s="2">
        <v>8.0028824167093298</v>
      </c>
      <c r="R3" s="2">
        <v>8.0028824167093298</v>
      </c>
      <c r="S3" s="2">
        <v>8.3034928749548307</v>
      </c>
      <c r="T3" s="2">
        <v>9.0876769582973793</v>
      </c>
      <c r="U3" s="2" t="s">
        <v>43</v>
      </c>
      <c r="V3" s="2">
        <v>-10</v>
      </c>
      <c r="W3" s="2">
        <v>1</v>
      </c>
      <c r="X3" s="2">
        <v>1</v>
      </c>
      <c r="Y3" s="2">
        <v>1.0831352500245</v>
      </c>
      <c r="Z3" s="2"/>
      <c r="AA3" s="2"/>
      <c r="AB3" s="2"/>
      <c r="AC3" s="2"/>
      <c r="AD3" s="2" t="s">
        <v>38</v>
      </c>
      <c r="AE3" s="2">
        <v>1</v>
      </c>
      <c r="AF3" s="2" t="s">
        <v>39</v>
      </c>
      <c r="AG3" s="2" t="s">
        <v>40</v>
      </c>
      <c r="AH3" s="2"/>
      <c r="AI3" s="2" t="s">
        <v>41</v>
      </c>
      <c r="AJ3" s="2">
        <v>59.761224027050801</v>
      </c>
      <c r="AK3" s="2" t="s">
        <v>42</v>
      </c>
    </row>
    <row r="4" spans="1:37" x14ac:dyDescent="0.2">
      <c r="A4" s="2">
        <v>1</v>
      </c>
      <c r="B4" s="2">
        <v>2</v>
      </c>
      <c r="C4" s="2">
        <v>8</v>
      </c>
      <c r="D4" s="2">
        <v>9.1045779583509994</v>
      </c>
      <c r="E4" s="2"/>
      <c r="F4" s="2"/>
      <c r="G4" s="2"/>
      <c r="H4" s="2"/>
      <c r="I4" s="2"/>
      <c r="J4" s="2"/>
      <c r="K4" s="2"/>
      <c r="L4" s="2"/>
      <c r="M4" s="2"/>
      <c r="N4" s="2">
        <v>9.0877279583364707</v>
      </c>
      <c r="O4" s="2">
        <v>9.1045779583509994</v>
      </c>
      <c r="P4" s="2">
        <v>9.6201634167227894</v>
      </c>
      <c r="Q4" s="2">
        <v>9.5867169166449493</v>
      </c>
      <c r="R4" s="2">
        <v>9.5867169166449493</v>
      </c>
      <c r="S4" s="2">
        <v>9.88724487496075</v>
      </c>
      <c r="T4" s="2">
        <v>10.0708212082973</v>
      </c>
      <c r="U4" s="2" t="s">
        <v>43</v>
      </c>
      <c r="V4" s="2">
        <v>-8</v>
      </c>
      <c r="W4" s="2">
        <v>1</v>
      </c>
      <c r="X4" s="2">
        <v>1</v>
      </c>
      <c r="Y4" s="2">
        <v>0.47211891668848699</v>
      </c>
      <c r="Z4" s="2"/>
      <c r="AA4" s="2"/>
      <c r="AB4" s="2"/>
      <c r="AC4" s="2"/>
      <c r="AD4" s="2" t="s">
        <v>38</v>
      </c>
      <c r="AE4" s="2">
        <v>1</v>
      </c>
      <c r="AF4" s="2" t="s">
        <v>39</v>
      </c>
      <c r="AG4" s="2" t="s">
        <v>40</v>
      </c>
      <c r="AH4" s="2"/>
      <c r="AI4" s="2" t="s">
        <v>41</v>
      </c>
      <c r="AJ4" s="2">
        <v>59.761224027050801</v>
      </c>
      <c r="AK4" s="2" t="s">
        <v>42</v>
      </c>
    </row>
    <row r="5" spans="1:37" x14ac:dyDescent="0.2">
      <c r="A5" s="2">
        <v>2</v>
      </c>
      <c r="B5" s="2">
        <v>2</v>
      </c>
      <c r="C5" s="2">
        <v>6</v>
      </c>
      <c r="D5" s="2">
        <v>10.0872567499755</v>
      </c>
      <c r="E5" s="2"/>
      <c r="F5" s="2"/>
      <c r="G5" s="2"/>
      <c r="H5" s="2"/>
      <c r="I5" s="2"/>
      <c r="J5" s="2"/>
      <c r="K5" s="2"/>
      <c r="L5" s="2"/>
      <c r="M5" s="2"/>
      <c r="N5" s="2">
        <v>10.0708659166703</v>
      </c>
      <c r="O5" s="2">
        <v>10.0872567499755</v>
      </c>
      <c r="P5" s="2">
        <v>10.5873439999996</v>
      </c>
      <c r="Q5" s="2">
        <v>10.570523291709801</v>
      </c>
      <c r="R5" s="2">
        <v>10.570523291709801</v>
      </c>
      <c r="S5" s="2">
        <v>10.870694666635201</v>
      </c>
      <c r="T5" s="2">
        <v>11.086919000023</v>
      </c>
      <c r="U5" s="2" t="s">
        <v>44</v>
      </c>
      <c r="V5" s="2">
        <v>6</v>
      </c>
      <c r="W5" s="2">
        <v>1</v>
      </c>
      <c r="X5" s="2">
        <v>1</v>
      </c>
      <c r="Y5" s="2">
        <v>0.51431433344259903</v>
      </c>
      <c r="Z5" s="2"/>
      <c r="AA5" s="2"/>
      <c r="AB5" s="2"/>
      <c r="AC5" s="2"/>
      <c r="AD5" s="2" t="s">
        <v>38</v>
      </c>
      <c r="AE5" s="2">
        <v>1</v>
      </c>
      <c r="AF5" s="2" t="s">
        <v>39</v>
      </c>
      <c r="AG5" s="2" t="s">
        <v>40</v>
      </c>
      <c r="AH5" s="2"/>
      <c r="AI5" s="2" t="s">
        <v>41</v>
      </c>
      <c r="AJ5" s="2">
        <v>59.761224027050801</v>
      </c>
      <c r="AK5" s="2" t="s">
        <v>42</v>
      </c>
    </row>
    <row r="6" spans="1:37" x14ac:dyDescent="0.2">
      <c r="A6" s="2">
        <v>3</v>
      </c>
      <c r="B6" s="2">
        <v>2</v>
      </c>
      <c r="C6" s="2">
        <v>4</v>
      </c>
      <c r="D6" s="2">
        <v>11.1026921666926</v>
      </c>
      <c r="E6" s="2"/>
      <c r="F6" s="2"/>
      <c r="G6" s="2"/>
      <c r="H6" s="2"/>
      <c r="I6" s="2"/>
      <c r="J6" s="2"/>
      <c r="K6" s="2"/>
      <c r="L6" s="2"/>
      <c r="M6" s="2"/>
      <c r="N6" s="2">
        <v>11.0869763749652</v>
      </c>
      <c r="O6" s="2">
        <v>11.1026921666926</v>
      </c>
      <c r="P6" s="2">
        <v>11.6040930416202</v>
      </c>
      <c r="Q6" s="2">
        <v>11.587305666645999</v>
      </c>
      <c r="R6" s="2">
        <v>11.587305666645999</v>
      </c>
      <c r="S6" s="2">
        <v>11.8873917083256</v>
      </c>
      <c r="T6" s="2">
        <v>12.1043112917105</v>
      </c>
      <c r="U6" s="2" t="s">
        <v>44</v>
      </c>
      <c r="V6" s="2">
        <v>4</v>
      </c>
      <c r="W6" s="2">
        <v>1</v>
      </c>
      <c r="X6" s="2">
        <v>1</v>
      </c>
      <c r="Y6" s="2">
        <v>0.51250845834147196</v>
      </c>
      <c r="Z6" s="2"/>
      <c r="AA6" s="2"/>
      <c r="AB6" s="2"/>
      <c r="AC6" s="2"/>
      <c r="AD6" s="2" t="s">
        <v>38</v>
      </c>
      <c r="AE6" s="2">
        <v>1</v>
      </c>
      <c r="AF6" s="2" t="s">
        <v>39</v>
      </c>
      <c r="AG6" s="2" t="s">
        <v>40</v>
      </c>
      <c r="AH6" s="2"/>
      <c r="AI6" s="2" t="s">
        <v>41</v>
      </c>
      <c r="AJ6" s="2">
        <v>59.761224027050801</v>
      </c>
      <c r="AK6" s="2" t="s">
        <v>42</v>
      </c>
    </row>
    <row r="7" spans="1:37" x14ac:dyDescent="0.2">
      <c r="A7" s="2">
        <v>4</v>
      </c>
      <c r="B7" s="2">
        <v>2</v>
      </c>
      <c r="C7" s="2">
        <v>2</v>
      </c>
      <c r="D7" s="2">
        <v>12.1206209999509</v>
      </c>
      <c r="E7" s="2"/>
      <c r="F7" s="2"/>
      <c r="G7" s="2"/>
      <c r="H7" s="2"/>
      <c r="I7" s="2"/>
      <c r="J7" s="2"/>
      <c r="K7" s="2"/>
      <c r="L7" s="2"/>
      <c r="M7" s="2"/>
      <c r="N7" s="2">
        <v>12.1043534583878</v>
      </c>
      <c r="O7" s="2">
        <v>12.1206209999509</v>
      </c>
      <c r="P7" s="2">
        <v>12.620606833370401</v>
      </c>
      <c r="Q7" s="2">
        <v>12.603951208293401</v>
      </c>
      <c r="R7" s="2">
        <v>12.603951208293401</v>
      </c>
      <c r="S7" s="2">
        <v>12.903897958342</v>
      </c>
      <c r="T7" s="2">
        <v>13.0874785416527</v>
      </c>
      <c r="U7" s="2" t="s">
        <v>43</v>
      </c>
      <c r="V7" s="2">
        <v>-2</v>
      </c>
      <c r="W7" s="2">
        <v>1</v>
      </c>
      <c r="X7" s="2">
        <v>1</v>
      </c>
      <c r="Y7" s="2">
        <v>0.46884491667151501</v>
      </c>
      <c r="Z7" s="2"/>
      <c r="AA7" s="2"/>
      <c r="AB7" s="2"/>
      <c r="AC7" s="2"/>
      <c r="AD7" s="2" t="s">
        <v>38</v>
      </c>
      <c r="AE7" s="2">
        <v>1</v>
      </c>
      <c r="AF7" s="2" t="s">
        <v>39</v>
      </c>
      <c r="AG7" s="2" t="s">
        <v>40</v>
      </c>
      <c r="AH7" s="2"/>
      <c r="AI7" s="2" t="s">
        <v>41</v>
      </c>
      <c r="AJ7" s="2">
        <v>59.761224027050801</v>
      </c>
      <c r="AK7" s="2" t="s">
        <v>42</v>
      </c>
    </row>
    <row r="8" spans="1:37" x14ac:dyDescent="0.2">
      <c r="A8" s="2">
        <v>5</v>
      </c>
      <c r="B8" s="2">
        <v>2</v>
      </c>
      <c r="C8" s="2">
        <v>1</v>
      </c>
      <c r="D8" s="2">
        <v>13.103953333338699</v>
      </c>
      <c r="E8" s="2"/>
      <c r="F8" s="2"/>
      <c r="G8" s="2"/>
      <c r="H8" s="2"/>
      <c r="I8" s="2"/>
      <c r="J8" s="2"/>
      <c r="K8" s="2"/>
      <c r="L8" s="2"/>
      <c r="M8" s="2"/>
      <c r="N8" s="2">
        <v>13.0875130833592</v>
      </c>
      <c r="O8" s="2">
        <v>13.103953333338699</v>
      </c>
      <c r="P8" s="2">
        <v>13.6038263749797</v>
      </c>
      <c r="Q8" s="2">
        <v>13.587218125001501</v>
      </c>
      <c r="R8" s="2">
        <v>13.587218125001501</v>
      </c>
      <c r="S8" s="2">
        <v>13.887227041646801</v>
      </c>
      <c r="T8" s="2">
        <v>14.253551500034501</v>
      </c>
      <c r="U8" s="2" t="s">
        <v>43</v>
      </c>
      <c r="V8" s="2">
        <v>-1</v>
      </c>
      <c r="W8" s="2">
        <v>1</v>
      </c>
      <c r="X8" s="2">
        <v>1</v>
      </c>
      <c r="Y8" s="2">
        <v>0.65052150003611997</v>
      </c>
      <c r="Z8" s="2"/>
      <c r="AA8" s="2"/>
      <c r="AB8" s="2"/>
      <c r="AC8" s="2"/>
      <c r="AD8" s="2" t="s">
        <v>38</v>
      </c>
      <c r="AE8" s="2">
        <v>1</v>
      </c>
      <c r="AF8" s="2" t="s">
        <v>39</v>
      </c>
      <c r="AG8" s="2" t="s">
        <v>40</v>
      </c>
      <c r="AH8" s="2"/>
      <c r="AI8" s="2" t="s">
        <v>41</v>
      </c>
      <c r="AJ8" s="2">
        <v>59.761224027050801</v>
      </c>
      <c r="AK8" s="2" t="s">
        <v>42</v>
      </c>
    </row>
    <row r="9" spans="1:37" x14ac:dyDescent="0.2">
      <c r="A9" s="2">
        <v>6</v>
      </c>
      <c r="B9" s="2">
        <v>1</v>
      </c>
      <c r="C9" s="2">
        <v>1</v>
      </c>
      <c r="D9" s="2">
        <v>14.270557708339799</v>
      </c>
      <c r="E9" s="2"/>
      <c r="F9" s="2"/>
      <c r="G9" s="2"/>
      <c r="H9" s="2"/>
      <c r="I9" s="2"/>
      <c r="J9" s="2"/>
      <c r="K9" s="2"/>
      <c r="L9" s="2"/>
      <c r="M9" s="2"/>
      <c r="N9" s="2">
        <v>14.2535851249704</v>
      </c>
      <c r="O9" s="2">
        <v>14.270557708339799</v>
      </c>
      <c r="P9" s="2">
        <v>14.7707659583539</v>
      </c>
      <c r="Q9" s="2">
        <v>14.753938250010799</v>
      </c>
      <c r="R9" s="2">
        <v>14.753938250010799</v>
      </c>
      <c r="S9" s="2">
        <v>15.0540536666522</v>
      </c>
      <c r="T9" s="2">
        <v>15.170775041682701</v>
      </c>
      <c r="U9" s="2" t="s">
        <v>43</v>
      </c>
      <c r="V9" s="2">
        <v>-1</v>
      </c>
      <c r="W9" s="2">
        <v>0</v>
      </c>
      <c r="X9" s="2">
        <v>0</v>
      </c>
      <c r="Y9" s="2">
        <v>0.40581866668071598</v>
      </c>
      <c r="Z9" s="2"/>
      <c r="AA9" s="2"/>
      <c r="AB9" s="2"/>
      <c r="AC9" s="2"/>
      <c r="AD9" s="2" t="s">
        <v>38</v>
      </c>
      <c r="AE9" s="2">
        <v>1</v>
      </c>
      <c r="AF9" s="2" t="s">
        <v>39</v>
      </c>
      <c r="AG9" s="2" t="s">
        <v>40</v>
      </c>
      <c r="AH9" s="2"/>
      <c r="AI9" s="2" t="s">
        <v>41</v>
      </c>
      <c r="AJ9" s="2">
        <v>59.761224027050801</v>
      </c>
      <c r="AK9" s="2" t="s">
        <v>42</v>
      </c>
    </row>
    <row r="10" spans="1:37" x14ac:dyDescent="0.2">
      <c r="A10" s="2">
        <v>7</v>
      </c>
      <c r="B10" s="2">
        <v>1</v>
      </c>
      <c r="C10" s="2">
        <v>2</v>
      </c>
      <c r="D10" s="2">
        <v>15.1873415416339</v>
      </c>
      <c r="E10" s="2"/>
      <c r="F10" s="2"/>
      <c r="G10" s="2"/>
      <c r="H10" s="2"/>
      <c r="I10" s="2"/>
      <c r="J10" s="2"/>
      <c r="K10" s="2"/>
      <c r="L10" s="2"/>
      <c r="M10" s="2"/>
      <c r="N10" s="2">
        <v>15.1708021250088</v>
      </c>
      <c r="O10" s="2">
        <v>15.1873415416339</v>
      </c>
      <c r="P10" s="2">
        <v>15.6873299583094</v>
      </c>
      <c r="Q10" s="2">
        <v>15.670711166691</v>
      </c>
      <c r="R10" s="2">
        <v>15.670711166691</v>
      </c>
      <c r="S10" s="2">
        <v>15.970674166688701</v>
      </c>
      <c r="T10" s="2">
        <v>16.070735750021399</v>
      </c>
      <c r="U10" s="2" t="s">
        <v>44</v>
      </c>
      <c r="V10" s="2">
        <v>2</v>
      </c>
      <c r="W10" s="2">
        <v>0</v>
      </c>
      <c r="X10" s="2">
        <v>0</v>
      </c>
      <c r="Y10" s="2">
        <v>0.38999966660048802</v>
      </c>
      <c r="Z10" s="2"/>
      <c r="AA10" s="2"/>
      <c r="AB10" s="2"/>
      <c r="AC10" s="2"/>
      <c r="AD10" s="2" t="s">
        <v>38</v>
      </c>
      <c r="AE10" s="2">
        <v>1</v>
      </c>
      <c r="AF10" s="2" t="s">
        <v>39</v>
      </c>
      <c r="AG10" s="2" t="s">
        <v>40</v>
      </c>
      <c r="AH10" s="2"/>
      <c r="AI10" s="2" t="s">
        <v>41</v>
      </c>
      <c r="AJ10" s="2">
        <v>59.761224027050801</v>
      </c>
      <c r="AK10" s="2" t="s">
        <v>42</v>
      </c>
    </row>
    <row r="11" spans="1:37" x14ac:dyDescent="0.2">
      <c r="A11" s="2">
        <v>8</v>
      </c>
      <c r="B11" s="2">
        <v>1</v>
      </c>
      <c r="C11" s="2">
        <v>3</v>
      </c>
      <c r="D11" s="2">
        <v>16.087316958350101</v>
      </c>
      <c r="E11" s="2"/>
      <c r="F11" s="2"/>
      <c r="G11" s="2"/>
      <c r="H11" s="2"/>
      <c r="I11" s="2"/>
      <c r="J11" s="2"/>
      <c r="K11" s="2"/>
      <c r="L11" s="2"/>
      <c r="M11" s="2"/>
      <c r="N11" s="2">
        <v>16.0707629167009</v>
      </c>
      <c r="O11" s="2">
        <v>16.087316958350101</v>
      </c>
      <c r="P11" s="2">
        <v>16.587330000009398</v>
      </c>
      <c r="Q11" s="2">
        <v>16.5705435416894</v>
      </c>
      <c r="R11" s="2">
        <v>16.5705435416894</v>
      </c>
      <c r="S11" s="2">
        <v>16.870664583286299</v>
      </c>
      <c r="T11" s="2">
        <v>17.270235833362701</v>
      </c>
      <c r="U11" s="2" t="s">
        <v>44</v>
      </c>
      <c r="V11" s="2">
        <v>3</v>
      </c>
      <c r="W11" s="2">
        <v>1</v>
      </c>
      <c r="X11" s="2">
        <v>1</v>
      </c>
      <c r="Y11" s="2">
        <v>0.69216054165735796</v>
      </c>
      <c r="Z11" s="2"/>
      <c r="AA11" s="2"/>
      <c r="AB11" s="2"/>
      <c r="AC11" s="2"/>
      <c r="AD11" s="2" t="s">
        <v>38</v>
      </c>
      <c r="AE11" s="2">
        <v>1</v>
      </c>
      <c r="AF11" s="2" t="s">
        <v>39</v>
      </c>
      <c r="AG11" s="2" t="s">
        <v>40</v>
      </c>
      <c r="AH11" s="2"/>
      <c r="AI11" s="2" t="s">
        <v>41</v>
      </c>
      <c r="AJ11" s="2">
        <v>59.761224027050801</v>
      </c>
      <c r="AK11" s="2" t="s">
        <v>42</v>
      </c>
    </row>
    <row r="12" spans="1:37" x14ac:dyDescent="0.2">
      <c r="A12" s="2">
        <v>9</v>
      </c>
      <c r="B12" s="2">
        <v>1</v>
      </c>
      <c r="C12" s="2">
        <v>3</v>
      </c>
      <c r="D12" s="2">
        <v>17.2864092916716</v>
      </c>
      <c r="E12" s="2"/>
      <c r="F12" s="2"/>
      <c r="G12" s="2"/>
      <c r="H12" s="2"/>
      <c r="I12" s="2"/>
      <c r="J12" s="2"/>
      <c r="K12" s="2"/>
      <c r="L12" s="2"/>
      <c r="M12" s="2"/>
      <c r="N12" s="2">
        <v>17.270263541722699</v>
      </c>
      <c r="O12" s="2">
        <v>17.2864092916716</v>
      </c>
      <c r="P12" s="2">
        <v>17.787236458389099</v>
      </c>
      <c r="Q12" s="2">
        <v>17.770595041685699</v>
      </c>
      <c r="R12" s="2">
        <v>17.770595041685699</v>
      </c>
      <c r="S12" s="2">
        <v>18.0705319166882</v>
      </c>
      <c r="T12" s="2">
        <v>18.337539625004901</v>
      </c>
      <c r="U12" s="2" t="s">
        <v>44</v>
      </c>
      <c r="V12" s="2">
        <v>3</v>
      </c>
      <c r="W12" s="2">
        <v>1</v>
      </c>
      <c r="X12" s="2">
        <v>1</v>
      </c>
      <c r="Y12" s="2">
        <v>0.56209054170176398</v>
      </c>
      <c r="Z12" s="2"/>
      <c r="AA12" s="2"/>
      <c r="AB12" s="2"/>
      <c r="AC12" s="2"/>
      <c r="AD12" s="2" t="s">
        <v>38</v>
      </c>
      <c r="AE12" s="2">
        <v>1</v>
      </c>
      <c r="AF12" s="2" t="s">
        <v>39</v>
      </c>
      <c r="AG12" s="2" t="s">
        <v>40</v>
      </c>
      <c r="AH12" s="2"/>
      <c r="AI12" s="2" t="s">
        <v>41</v>
      </c>
      <c r="AJ12" s="2">
        <v>59.761224027050801</v>
      </c>
      <c r="AK12" s="2" t="s">
        <v>42</v>
      </c>
    </row>
    <row r="13" spans="1:37" x14ac:dyDescent="0.2">
      <c r="A13" s="2">
        <v>10</v>
      </c>
      <c r="B13" s="2">
        <v>1</v>
      </c>
      <c r="C13" s="2">
        <v>3</v>
      </c>
      <c r="D13" s="2">
        <v>18.354076708317699</v>
      </c>
      <c r="E13" s="2"/>
      <c r="F13" s="2"/>
      <c r="G13" s="2"/>
      <c r="H13" s="2"/>
      <c r="I13" s="2"/>
      <c r="J13" s="2"/>
      <c r="K13" s="2"/>
      <c r="L13" s="2"/>
      <c r="M13" s="2"/>
      <c r="N13" s="2">
        <v>18.337561708292899</v>
      </c>
      <c r="O13" s="2">
        <v>18.354076708317699</v>
      </c>
      <c r="P13" s="2">
        <v>18.853731708368301</v>
      </c>
      <c r="Q13" s="2">
        <v>18.837061624974002</v>
      </c>
      <c r="R13" s="2">
        <v>18.837061624974002</v>
      </c>
      <c r="S13" s="2">
        <v>19.1373158750357</v>
      </c>
      <c r="T13" s="2">
        <v>19.286509291618099</v>
      </c>
      <c r="U13" s="2" t="s">
        <v>43</v>
      </c>
      <c r="V13" s="2">
        <v>-3</v>
      </c>
      <c r="W13" s="2">
        <v>0</v>
      </c>
      <c r="X13" s="2">
        <v>0</v>
      </c>
      <c r="Y13" s="2">
        <v>0.44458991661667802</v>
      </c>
      <c r="Z13" s="2"/>
      <c r="AA13" s="2"/>
      <c r="AB13" s="2"/>
      <c r="AC13" s="2"/>
      <c r="AD13" s="2" t="s">
        <v>38</v>
      </c>
      <c r="AE13" s="2">
        <v>1</v>
      </c>
      <c r="AF13" s="2" t="s">
        <v>39</v>
      </c>
      <c r="AG13" s="2" t="s">
        <v>40</v>
      </c>
      <c r="AH13" s="2"/>
      <c r="AI13" s="2" t="s">
        <v>41</v>
      </c>
      <c r="AJ13" s="2">
        <v>59.761224027050801</v>
      </c>
      <c r="AK13" s="2" t="s">
        <v>42</v>
      </c>
    </row>
    <row r="14" spans="1:37" x14ac:dyDescent="0.2">
      <c r="A14" s="2">
        <v>11</v>
      </c>
      <c r="B14" s="2">
        <v>1</v>
      </c>
      <c r="C14" s="2">
        <v>4</v>
      </c>
      <c r="D14" s="2">
        <v>19.303899875027099</v>
      </c>
      <c r="E14" s="2"/>
      <c r="F14" s="2"/>
      <c r="G14" s="2"/>
      <c r="H14" s="2"/>
      <c r="I14" s="2"/>
      <c r="J14" s="2"/>
      <c r="K14" s="2"/>
      <c r="L14" s="2"/>
      <c r="M14" s="2"/>
      <c r="N14" s="2">
        <v>19.286551958299199</v>
      </c>
      <c r="O14" s="2">
        <v>19.303899875027099</v>
      </c>
      <c r="P14" s="2">
        <v>19.803831916651699</v>
      </c>
      <c r="Q14" s="2">
        <v>19.787243291619198</v>
      </c>
      <c r="R14" s="2">
        <v>19.787243291619198</v>
      </c>
      <c r="S14" s="2">
        <v>20.0873324583517</v>
      </c>
      <c r="T14" s="2">
        <v>20.403986166696999</v>
      </c>
      <c r="U14" s="2" t="s">
        <v>44</v>
      </c>
      <c r="V14" s="2">
        <v>4</v>
      </c>
      <c r="W14" s="2">
        <v>1</v>
      </c>
      <c r="X14" s="2">
        <v>1</v>
      </c>
      <c r="Y14" s="2">
        <v>0.61642225005198303</v>
      </c>
      <c r="Z14" s="2"/>
      <c r="AA14" s="2"/>
      <c r="AB14" s="2"/>
      <c r="AC14" s="2"/>
      <c r="AD14" s="2" t="s">
        <v>38</v>
      </c>
      <c r="AE14" s="2">
        <v>1</v>
      </c>
      <c r="AF14" s="2" t="s">
        <v>39</v>
      </c>
      <c r="AG14" s="2" t="s">
        <v>40</v>
      </c>
      <c r="AH14" s="2"/>
      <c r="AI14" s="2" t="s">
        <v>41</v>
      </c>
      <c r="AJ14" s="2">
        <v>59.761224027050801</v>
      </c>
      <c r="AK14" s="2" t="s">
        <v>42</v>
      </c>
    </row>
    <row r="15" spans="1:37" x14ac:dyDescent="0.2">
      <c r="A15" s="2">
        <v>12</v>
      </c>
      <c r="B15" s="2">
        <v>1</v>
      </c>
      <c r="C15" s="2">
        <v>4</v>
      </c>
      <c r="D15" s="2">
        <v>20.4198658333626</v>
      </c>
      <c r="E15" s="2"/>
      <c r="F15" s="2"/>
      <c r="G15" s="2"/>
      <c r="H15" s="2"/>
      <c r="I15" s="2"/>
      <c r="J15" s="2"/>
      <c r="K15" s="2"/>
      <c r="L15" s="2"/>
      <c r="M15" s="2"/>
      <c r="N15" s="2">
        <v>20.4040158749558</v>
      </c>
      <c r="O15" s="2">
        <v>20.4198658333626</v>
      </c>
      <c r="P15" s="2">
        <v>20.9206789999735</v>
      </c>
      <c r="Q15" s="2">
        <v>20.9206789999735</v>
      </c>
      <c r="R15" s="2">
        <v>20.9206789999735</v>
      </c>
      <c r="S15" s="2">
        <v>21.219476791680801</v>
      </c>
      <c r="T15" s="2">
        <v>21.486441749962999</v>
      </c>
      <c r="U15" s="2" t="s">
        <v>43</v>
      </c>
      <c r="V15" s="2">
        <v>-4</v>
      </c>
      <c r="W15" s="2">
        <v>1</v>
      </c>
      <c r="X15" s="2">
        <v>1</v>
      </c>
      <c r="Y15" s="2">
        <v>0.55590841663070001</v>
      </c>
      <c r="Z15" s="2"/>
      <c r="AA15" s="2"/>
      <c r="AB15" s="2"/>
      <c r="AC15" s="2"/>
      <c r="AD15" s="2" t="s">
        <v>38</v>
      </c>
      <c r="AE15" s="2">
        <v>1</v>
      </c>
      <c r="AF15" s="2" t="s">
        <v>39</v>
      </c>
      <c r="AG15" s="2" t="s">
        <v>40</v>
      </c>
      <c r="AH15" s="2"/>
      <c r="AI15" s="2" t="s">
        <v>41</v>
      </c>
      <c r="AJ15" s="2">
        <v>59.761224027050801</v>
      </c>
      <c r="AK15" s="2" t="s">
        <v>42</v>
      </c>
    </row>
    <row r="16" spans="1:37" x14ac:dyDescent="0.2">
      <c r="A16" s="2">
        <v>13</v>
      </c>
      <c r="B16" s="2">
        <v>1</v>
      </c>
      <c r="C16" s="2">
        <v>4</v>
      </c>
      <c r="D16" s="2">
        <v>21.503638499998502</v>
      </c>
      <c r="E16" s="2"/>
      <c r="F16" s="2"/>
      <c r="G16" s="2"/>
      <c r="H16" s="2"/>
      <c r="I16" s="2"/>
      <c r="J16" s="2"/>
      <c r="K16" s="2"/>
      <c r="L16" s="2"/>
      <c r="M16" s="2"/>
      <c r="N16" s="2">
        <v>21.486508083296901</v>
      </c>
      <c r="O16" s="2">
        <v>21.503638499998502</v>
      </c>
      <c r="P16" s="2">
        <v>22.004062458290701</v>
      </c>
      <c r="Q16" s="2">
        <v>21.987262708367801</v>
      </c>
      <c r="R16" s="2">
        <v>21.987262708367801</v>
      </c>
      <c r="S16" s="2">
        <v>22.303998083341899</v>
      </c>
      <c r="T16" s="2">
        <v>22.5198615416884</v>
      </c>
      <c r="U16" s="2" t="s">
        <v>44</v>
      </c>
      <c r="V16" s="2">
        <v>4</v>
      </c>
      <c r="W16" s="2">
        <v>1</v>
      </c>
      <c r="X16" s="2">
        <v>1</v>
      </c>
      <c r="Y16" s="2">
        <v>0.52632774994708598</v>
      </c>
      <c r="Z16" s="2"/>
      <c r="AA16" s="2"/>
      <c r="AB16" s="2"/>
      <c r="AC16" s="2"/>
      <c r="AD16" s="2" t="s">
        <v>38</v>
      </c>
      <c r="AE16" s="2">
        <v>1</v>
      </c>
      <c r="AF16" s="2" t="s">
        <v>39</v>
      </c>
      <c r="AG16" s="2" t="s">
        <v>40</v>
      </c>
      <c r="AH16" s="2"/>
      <c r="AI16" s="2" t="s">
        <v>41</v>
      </c>
      <c r="AJ16" s="2">
        <v>59.761224027050801</v>
      </c>
      <c r="AK16" s="2" t="s">
        <v>42</v>
      </c>
    </row>
    <row r="17" spans="1:37" x14ac:dyDescent="0.2">
      <c r="A17" s="2">
        <v>14</v>
      </c>
      <c r="B17" s="2">
        <v>1</v>
      </c>
      <c r="C17" s="2">
        <v>3</v>
      </c>
      <c r="D17" s="2">
        <v>22.537246291642099</v>
      </c>
      <c r="E17" s="2"/>
      <c r="F17" s="2"/>
      <c r="G17" s="2"/>
      <c r="H17" s="2"/>
      <c r="I17" s="2"/>
      <c r="J17" s="2"/>
      <c r="K17" s="2"/>
      <c r="L17" s="2"/>
      <c r="M17" s="2"/>
      <c r="N17" s="2">
        <v>22.519897416699699</v>
      </c>
      <c r="O17" s="2">
        <v>22.537246291642099</v>
      </c>
      <c r="P17" s="2">
        <v>23.037201958359201</v>
      </c>
      <c r="Q17" s="2">
        <v>23.0205890833167</v>
      </c>
      <c r="R17" s="2">
        <v>23.0205890833167</v>
      </c>
      <c r="S17" s="2">
        <v>23.320690333377598</v>
      </c>
      <c r="T17" s="2">
        <v>23.720719458302501</v>
      </c>
      <c r="U17" s="2" t="s">
        <v>44</v>
      </c>
      <c r="V17" s="2">
        <v>3</v>
      </c>
      <c r="W17" s="2">
        <v>1</v>
      </c>
      <c r="X17" s="2">
        <v>1</v>
      </c>
      <c r="Y17" s="2">
        <v>0.69598299998324398</v>
      </c>
      <c r="Z17" s="2"/>
      <c r="AA17" s="2"/>
      <c r="AB17" s="2"/>
      <c r="AC17" s="2"/>
      <c r="AD17" s="2" t="s">
        <v>38</v>
      </c>
      <c r="AE17" s="2">
        <v>1</v>
      </c>
      <c r="AF17" s="2" t="s">
        <v>39</v>
      </c>
      <c r="AG17" s="2" t="s">
        <v>40</v>
      </c>
      <c r="AH17" s="2"/>
      <c r="AI17" s="2" t="s">
        <v>41</v>
      </c>
      <c r="AJ17" s="2">
        <v>59.761224027050801</v>
      </c>
      <c r="AK17" s="2" t="s">
        <v>42</v>
      </c>
    </row>
    <row r="18" spans="1:37" x14ac:dyDescent="0.2">
      <c r="A18" s="2">
        <v>15</v>
      </c>
      <c r="B18" s="2">
        <v>1</v>
      </c>
      <c r="C18" s="2">
        <v>3</v>
      </c>
      <c r="D18" s="2">
        <v>23.7373399999924</v>
      </c>
      <c r="E18" s="2"/>
      <c r="F18" s="2"/>
      <c r="G18" s="2"/>
      <c r="H18" s="2"/>
      <c r="I18" s="2"/>
      <c r="J18" s="2"/>
      <c r="K18" s="2"/>
      <c r="L18" s="2"/>
      <c r="M18" s="2"/>
      <c r="N18" s="2">
        <v>23.720746708335401</v>
      </c>
      <c r="O18" s="2">
        <v>23.7373399999924</v>
      </c>
      <c r="P18" s="2">
        <v>24.2372445833171</v>
      </c>
      <c r="Q18" s="2">
        <v>24.220470499945801</v>
      </c>
      <c r="R18" s="2">
        <v>24.220470499945801</v>
      </c>
      <c r="S18" s="2">
        <v>24.520557416719399</v>
      </c>
      <c r="T18" s="2">
        <v>24.5207360833883</v>
      </c>
      <c r="U18" s="2" t="s">
        <v>43</v>
      </c>
      <c r="V18" s="2">
        <v>-3</v>
      </c>
      <c r="W18" s="2">
        <v>1</v>
      </c>
      <c r="X18" s="2">
        <v>1</v>
      </c>
      <c r="Y18" s="2">
        <v>0.28908333333674802</v>
      </c>
      <c r="Z18" s="2"/>
      <c r="AA18" s="2"/>
      <c r="AB18" s="2"/>
      <c r="AC18" s="2"/>
      <c r="AD18" s="2" t="s">
        <v>38</v>
      </c>
      <c r="AE18" s="2">
        <v>1</v>
      </c>
      <c r="AF18" s="2" t="s">
        <v>39</v>
      </c>
      <c r="AG18" s="2" t="s">
        <v>40</v>
      </c>
      <c r="AH18" s="2"/>
      <c r="AI18" s="2" t="s">
        <v>41</v>
      </c>
      <c r="AJ18" s="2">
        <v>59.761224027050801</v>
      </c>
      <c r="AK18" s="2" t="s">
        <v>42</v>
      </c>
    </row>
    <row r="19" spans="1:37" x14ac:dyDescent="0.2">
      <c r="A19" s="2">
        <v>16</v>
      </c>
      <c r="B19" s="2">
        <v>0.5</v>
      </c>
      <c r="C19" s="2">
        <v>3</v>
      </c>
      <c r="D19" s="2">
        <v>24.537199833313899</v>
      </c>
      <c r="E19" s="2"/>
      <c r="F19" s="2"/>
      <c r="G19" s="2"/>
      <c r="H19" s="2"/>
      <c r="I19" s="2"/>
      <c r="J19" s="2"/>
      <c r="K19" s="2"/>
      <c r="L19" s="2"/>
      <c r="M19" s="2"/>
      <c r="N19" s="2">
        <v>24.5207589999773</v>
      </c>
      <c r="O19" s="2">
        <v>24.537199833313899</v>
      </c>
      <c r="P19" s="2">
        <v>25.037169416667901</v>
      </c>
      <c r="Q19" s="2">
        <v>25.020550125045698</v>
      </c>
      <c r="R19" s="2">
        <v>25.020550125045698</v>
      </c>
      <c r="S19" s="2">
        <v>25.3206844583619</v>
      </c>
      <c r="T19" s="2">
        <v>25.437570541631398</v>
      </c>
      <c r="U19" s="2" t="s">
        <v>43</v>
      </c>
      <c r="V19" s="2">
        <v>-3</v>
      </c>
      <c r="W19" s="2">
        <v>0</v>
      </c>
      <c r="X19" s="2">
        <v>0</v>
      </c>
      <c r="Y19" s="2">
        <v>0.403248874936253</v>
      </c>
      <c r="Z19" s="2"/>
      <c r="AA19" s="2"/>
      <c r="AB19" s="2"/>
      <c r="AC19" s="2"/>
      <c r="AD19" s="2" t="s">
        <v>38</v>
      </c>
      <c r="AE19" s="2">
        <v>1</v>
      </c>
      <c r="AF19" s="2" t="s">
        <v>39</v>
      </c>
      <c r="AG19" s="2" t="s">
        <v>40</v>
      </c>
      <c r="AH19" s="2"/>
      <c r="AI19" s="2" t="s">
        <v>41</v>
      </c>
      <c r="AJ19" s="2">
        <v>59.761224027050801</v>
      </c>
      <c r="AK19" s="2" t="s">
        <v>42</v>
      </c>
    </row>
    <row r="20" spans="1:37" x14ac:dyDescent="0.2">
      <c r="A20" s="2">
        <v>17</v>
      </c>
      <c r="B20" s="2">
        <v>0.5</v>
      </c>
      <c r="C20" s="2">
        <v>3.5</v>
      </c>
      <c r="D20" s="2">
        <v>25.454018416698101</v>
      </c>
      <c r="E20" s="2"/>
      <c r="F20" s="2"/>
      <c r="G20" s="2"/>
      <c r="H20" s="2"/>
      <c r="I20" s="2"/>
      <c r="J20" s="2"/>
      <c r="K20" s="2"/>
      <c r="L20" s="2"/>
      <c r="M20" s="2"/>
      <c r="N20" s="2">
        <v>25.437592958332999</v>
      </c>
      <c r="O20" s="2">
        <v>25.454018416698101</v>
      </c>
      <c r="P20" s="2">
        <v>25.9540265416727</v>
      </c>
      <c r="Q20" s="2">
        <v>25.937412249972098</v>
      </c>
      <c r="R20" s="2">
        <v>25.937412249972098</v>
      </c>
      <c r="S20" s="2">
        <v>26.237310625030702</v>
      </c>
      <c r="T20" s="2">
        <v>26.437519583385399</v>
      </c>
      <c r="U20" s="2" t="s">
        <v>43</v>
      </c>
      <c r="V20" s="2">
        <v>-3.5</v>
      </c>
      <c r="W20" s="2">
        <v>0</v>
      </c>
      <c r="X20" s="2">
        <v>0</v>
      </c>
      <c r="Y20" s="2">
        <v>0.49710587505251203</v>
      </c>
      <c r="Z20" s="2"/>
      <c r="AA20" s="2"/>
      <c r="AB20" s="2"/>
      <c r="AC20" s="2"/>
      <c r="AD20" s="2" t="s">
        <v>38</v>
      </c>
      <c r="AE20" s="2">
        <v>1</v>
      </c>
      <c r="AF20" s="2" t="s">
        <v>39</v>
      </c>
      <c r="AG20" s="2" t="s">
        <v>40</v>
      </c>
      <c r="AH20" s="2"/>
      <c r="AI20" s="2" t="s">
        <v>41</v>
      </c>
      <c r="AJ20" s="2">
        <v>59.761224027050801</v>
      </c>
      <c r="AK20" s="2" t="s">
        <v>42</v>
      </c>
    </row>
    <row r="21" spans="1:37" x14ac:dyDescent="0.2">
      <c r="A21" s="2">
        <v>18</v>
      </c>
      <c r="B21" s="2">
        <v>0.5</v>
      </c>
      <c r="C21" s="2">
        <v>4</v>
      </c>
      <c r="D21" s="2">
        <v>26.453282875008899</v>
      </c>
      <c r="E21" s="2"/>
      <c r="F21" s="2"/>
      <c r="G21" s="2"/>
      <c r="H21" s="2"/>
      <c r="I21" s="2"/>
      <c r="J21" s="2"/>
      <c r="K21" s="2"/>
      <c r="L21" s="2"/>
      <c r="M21" s="2"/>
      <c r="N21" s="2">
        <v>26.437541875056901</v>
      </c>
      <c r="O21" s="2">
        <v>26.453282875008899</v>
      </c>
      <c r="P21" s="2">
        <v>26.953858083346901</v>
      </c>
      <c r="Q21" s="2">
        <v>26.937233291682801</v>
      </c>
      <c r="R21" s="2">
        <v>26.937233291682801</v>
      </c>
      <c r="S21" s="2">
        <v>27.2371776249493</v>
      </c>
      <c r="T21" s="2">
        <v>27.3540523749543</v>
      </c>
      <c r="U21" s="2" t="s">
        <v>43</v>
      </c>
      <c r="V21" s="2">
        <v>-4</v>
      </c>
      <c r="W21" s="2">
        <v>1</v>
      </c>
      <c r="X21" s="2">
        <v>1</v>
      </c>
      <c r="Y21" s="2">
        <v>0.41026016674004501</v>
      </c>
      <c r="Z21" s="2"/>
      <c r="AA21" s="2"/>
      <c r="AB21" s="2"/>
      <c r="AC21" s="2"/>
      <c r="AD21" s="2" t="s">
        <v>38</v>
      </c>
      <c r="AE21" s="2">
        <v>1</v>
      </c>
      <c r="AF21" s="2" t="s">
        <v>39</v>
      </c>
      <c r="AG21" s="2" t="s">
        <v>40</v>
      </c>
      <c r="AH21" s="2"/>
      <c r="AI21" s="2" t="s">
        <v>41</v>
      </c>
      <c r="AJ21" s="2">
        <v>59.761224027050801</v>
      </c>
      <c r="AK21" s="2" t="s">
        <v>42</v>
      </c>
    </row>
    <row r="22" spans="1:37" x14ac:dyDescent="0.2">
      <c r="A22" s="2">
        <v>19</v>
      </c>
      <c r="B22" s="2">
        <v>0.5</v>
      </c>
      <c r="C22" s="2">
        <v>4</v>
      </c>
      <c r="D22" s="2">
        <v>27.370509208296401</v>
      </c>
      <c r="E22" s="2"/>
      <c r="F22" s="2"/>
      <c r="G22" s="2"/>
      <c r="H22" s="2"/>
      <c r="I22" s="2"/>
      <c r="J22" s="2"/>
      <c r="K22" s="2"/>
      <c r="L22" s="2"/>
      <c r="M22" s="2"/>
      <c r="N22" s="2">
        <v>27.354078458389299</v>
      </c>
      <c r="O22" s="2">
        <v>27.370509208296401</v>
      </c>
      <c r="P22" s="2">
        <v>27.870536333299199</v>
      </c>
      <c r="Q22" s="2">
        <v>27.853840416646602</v>
      </c>
      <c r="R22" s="2">
        <v>27.853840416646602</v>
      </c>
      <c r="S22" s="2">
        <v>28.1539540416561</v>
      </c>
      <c r="T22" s="2">
        <v>28.370318625005901</v>
      </c>
      <c r="U22" s="2" t="s">
        <v>44</v>
      </c>
      <c r="V22" s="2">
        <v>4</v>
      </c>
      <c r="W22" s="2">
        <v>1</v>
      </c>
      <c r="X22" s="2">
        <v>1</v>
      </c>
      <c r="Y22" s="2">
        <v>0.51062991668004498</v>
      </c>
      <c r="Z22" s="2"/>
      <c r="AA22" s="2"/>
      <c r="AB22" s="2"/>
      <c r="AC22" s="2"/>
      <c r="AD22" s="2" t="s">
        <v>38</v>
      </c>
      <c r="AE22" s="2">
        <v>1</v>
      </c>
      <c r="AF22" s="2" t="s">
        <v>39</v>
      </c>
      <c r="AG22" s="2" t="s">
        <v>40</v>
      </c>
      <c r="AH22" s="2"/>
      <c r="AI22" s="2" t="s">
        <v>41</v>
      </c>
      <c r="AJ22" s="2">
        <v>59.761224027050801</v>
      </c>
      <c r="AK22" s="2" t="s">
        <v>42</v>
      </c>
    </row>
    <row r="23" spans="1:37" x14ac:dyDescent="0.2">
      <c r="A23" s="2">
        <v>20</v>
      </c>
      <c r="B23" s="2">
        <v>0.5</v>
      </c>
      <c r="C23" s="2">
        <v>4</v>
      </c>
      <c r="D23" s="2">
        <v>28.386686500045499</v>
      </c>
      <c r="E23" s="2"/>
      <c r="F23" s="2"/>
      <c r="G23" s="2"/>
      <c r="H23" s="2"/>
      <c r="I23" s="2"/>
      <c r="J23" s="2"/>
      <c r="K23" s="2"/>
      <c r="L23" s="2"/>
      <c r="M23" s="2"/>
      <c r="N23" s="2">
        <v>28.370339708286298</v>
      </c>
      <c r="O23" s="2">
        <v>28.386686500045499</v>
      </c>
      <c r="P23" s="2">
        <v>28.887361124972799</v>
      </c>
      <c r="Q23" s="2">
        <v>28.87057870836</v>
      </c>
      <c r="R23" s="2">
        <v>28.87057870836</v>
      </c>
      <c r="S23" s="2">
        <v>29.170706208329701</v>
      </c>
      <c r="T23" s="2">
        <v>29.6542466667015</v>
      </c>
      <c r="U23" s="2" t="s">
        <v>44</v>
      </c>
      <c r="V23" s="2">
        <v>4</v>
      </c>
      <c r="W23" s="2">
        <v>1</v>
      </c>
      <c r="X23" s="2">
        <v>1</v>
      </c>
      <c r="Y23" s="2">
        <v>0.78197029163129606</v>
      </c>
      <c r="Z23" s="2"/>
      <c r="AA23" s="2"/>
      <c r="AB23" s="2"/>
      <c r="AC23" s="2"/>
      <c r="AD23" s="2" t="s">
        <v>38</v>
      </c>
      <c r="AE23" s="2">
        <v>1</v>
      </c>
      <c r="AF23" s="2" t="s">
        <v>39</v>
      </c>
      <c r="AG23" s="2" t="s">
        <v>40</v>
      </c>
      <c r="AH23" s="2"/>
      <c r="AI23" s="2" t="s">
        <v>41</v>
      </c>
      <c r="AJ23" s="2">
        <v>59.761224027050801</v>
      </c>
      <c r="AK23" s="2" t="s">
        <v>42</v>
      </c>
    </row>
    <row r="24" spans="1:37" x14ac:dyDescent="0.2">
      <c r="A24" s="2">
        <v>21</v>
      </c>
      <c r="B24" s="2">
        <v>0.5</v>
      </c>
      <c r="C24" s="2">
        <v>3.5</v>
      </c>
      <c r="D24" s="2">
        <v>29.669979833299301</v>
      </c>
      <c r="E24" s="2"/>
      <c r="F24" s="2"/>
      <c r="G24" s="2"/>
      <c r="H24" s="2"/>
      <c r="I24" s="2"/>
      <c r="J24" s="2"/>
      <c r="K24" s="2"/>
      <c r="L24" s="2"/>
      <c r="M24" s="2"/>
      <c r="N24" s="2">
        <v>29.654279749956899</v>
      </c>
      <c r="O24" s="2">
        <v>29.669979833299301</v>
      </c>
      <c r="P24" s="2">
        <v>30.170557666686399</v>
      </c>
      <c r="Q24" s="2">
        <v>30.153942291624801</v>
      </c>
      <c r="R24" s="2">
        <v>30.153942291624801</v>
      </c>
      <c r="S24" s="2">
        <v>30.453895624959799</v>
      </c>
      <c r="T24" s="2">
        <v>30.737424833350801</v>
      </c>
      <c r="U24" s="2" t="s">
        <v>44</v>
      </c>
      <c r="V24" s="2">
        <v>3.5</v>
      </c>
      <c r="W24" s="2">
        <v>1</v>
      </c>
      <c r="X24" s="2">
        <v>1</v>
      </c>
      <c r="Y24" s="2">
        <v>0.58058254164643597</v>
      </c>
      <c r="Z24" s="2"/>
      <c r="AA24" s="2"/>
      <c r="AB24" s="2"/>
      <c r="AC24" s="2"/>
      <c r="AD24" s="2" t="s">
        <v>38</v>
      </c>
      <c r="AE24" s="2">
        <v>1</v>
      </c>
      <c r="AF24" s="2" t="s">
        <v>39</v>
      </c>
      <c r="AG24" s="2" t="s">
        <v>40</v>
      </c>
      <c r="AH24" s="2"/>
      <c r="AI24" s="2" t="s">
        <v>41</v>
      </c>
      <c r="AJ24" s="2">
        <v>59.761224027050801</v>
      </c>
      <c r="AK24" s="2" t="s">
        <v>42</v>
      </c>
    </row>
    <row r="25" spans="1:37" x14ac:dyDescent="0.2">
      <c r="A25" s="2">
        <v>22</v>
      </c>
      <c r="B25" s="2">
        <v>0.5</v>
      </c>
      <c r="C25" s="2">
        <v>3.5</v>
      </c>
      <c r="D25" s="2">
        <v>30.753187458380101</v>
      </c>
      <c r="E25" s="2"/>
      <c r="F25" s="2"/>
      <c r="G25" s="2"/>
      <c r="H25" s="2"/>
      <c r="I25" s="2"/>
      <c r="J25" s="2"/>
      <c r="K25" s="2"/>
      <c r="L25" s="2"/>
      <c r="M25" s="2"/>
      <c r="N25" s="2">
        <v>30.7374488749774</v>
      </c>
      <c r="O25" s="2">
        <v>30.753187458380101</v>
      </c>
      <c r="P25" s="2">
        <v>31.253187375026801</v>
      </c>
      <c r="Q25" s="2">
        <v>31.236330041661901</v>
      </c>
      <c r="R25" s="2">
        <v>31.236330041661901</v>
      </c>
      <c r="S25" s="2">
        <v>31.537270499975399</v>
      </c>
      <c r="T25" s="2">
        <v>31.870762833277698</v>
      </c>
      <c r="U25" s="2" t="s">
        <v>43</v>
      </c>
      <c r="V25" s="2">
        <v>-3.5</v>
      </c>
      <c r="W25" s="2">
        <v>1</v>
      </c>
      <c r="X25" s="2">
        <v>1</v>
      </c>
      <c r="Y25" s="2">
        <v>0.62106479157228001</v>
      </c>
      <c r="Z25" s="2"/>
      <c r="AA25" s="2"/>
      <c r="AB25" s="2"/>
      <c r="AC25" s="2"/>
      <c r="AD25" s="2" t="s">
        <v>38</v>
      </c>
      <c r="AE25" s="2">
        <v>1</v>
      </c>
      <c r="AF25" s="2" t="s">
        <v>39</v>
      </c>
      <c r="AG25" s="2" t="s">
        <v>40</v>
      </c>
      <c r="AH25" s="2"/>
      <c r="AI25" s="2" t="s">
        <v>41</v>
      </c>
      <c r="AJ25" s="2">
        <v>59.761224027050801</v>
      </c>
      <c r="AK25" s="2" t="s">
        <v>42</v>
      </c>
    </row>
    <row r="26" spans="1:37" x14ac:dyDescent="0.2">
      <c r="A26" s="2">
        <v>23</v>
      </c>
      <c r="B26" s="2">
        <v>0.5</v>
      </c>
      <c r="C26" s="2">
        <v>3.5</v>
      </c>
      <c r="D26" s="2">
        <v>31.887233416666302</v>
      </c>
      <c r="E26" s="2"/>
      <c r="F26" s="2"/>
      <c r="G26" s="2"/>
      <c r="H26" s="2"/>
      <c r="I26" s="2"/>
      <c r="J26" s="2"/>
      <c r="K26" s="2"/>
      <c r="L26" s="2"/>
      <c r="M26" s="2"/>
      <c r="N26" s="2">
        <v>31.870805041631701</v>
      </c>
      <c r="O26" s="2">
        <v>31.887233416666302</v>
      </c>
      <c r="P26" s="2">
        <v>32.387206208310097</v>
      </c>
      <c r="Q26" s="2">
        <v>32.370610666694098</v>
      </c>
      <c r="R26" s="2">
        <v>32.370610666694098</v>
      </c>
      <c r="S26" s="2">
        <v>32.670731874997699</v>
      </c>
      <c r="T26" s="2">
        <v>33.137446000007898</v>
      </c>
      <c r="U26" s="2" t="s">
        <v>44</v>
      </c>
      <c r="V26" s="2">
        <v>3.5</v>
      </c>
      <c r="W26" s="2">
        <v>1</v>
      </c>
      <c r="X26" s="2">
        <v>1</v>
      </c>
      <c r="Y26" s="2">
        <v>0.75474574998952504</v>
      </c>
      <c r="Z26" s="2"/>
      <c r="AA26" s="2"/>
      <c r="AB26" s="2"/>
      <c r="AC26" s="2"/>
      <c r="AD26" s="2" t="s">
        <v>38</v>
      </c>
      <c r="AE26" s="2">
        <v>1</v>
      </c>
      <c r="AF26" s="2" t="s">
        <v>39</v>
      </c>
      <c r="AG26" s="2" t="s">
        <v>40</v>
      </c>
      <c r="AH26" s="2"/>
      <c r="AI26" s="2" t="s">
        <v>41</v>
      </c>
      <c r="AJ26" s="2">
        <v>59.761224027050801</v>
      </c>
      <c r="AK26" s="2" t="s">
        <v>42</v>
      </c>
    </row>
    <row r="27" spans="1:37" x14ac:dyDescent="0.2">
      <c r="A27" s="2">
        <v>24</v>
      </c>
      <c r="B27" s="2">
        <v>0.5</v>
      </c>
      <c r="C27" s="2">
        <v>3</v>
      </c>
      <c r="D27" s="2">
        <v>33.153831541654696</v>
      </c>
      <c r="E27" s="2"/>
      <c r="F27" s="2"/>
      <c r="G27" s="2"/>
      <c r="H27" s="2"/>
      <c r="I27" s="2"/>
      <c r="J27" s="2"/>
      <c r="K27" s="2"/>
      <c r="L27" s="2"/>
      <c r="M27" s="2"/>
      <c r="N27" s="2">
        <v>33.137477708281999</v>
      </c>
      <c r="O27" s="2">
        <v>33.153831541654696</v>
      </c>
      <c r="P27" s="2">
        <v>33.653959374991302</v>
      </c>
      <c r="Q27" s="2">
        <v>33.637205875013002</v>
      </c>
      <c r="R27" s="2">
        <v>33.637205875013002</v>
      </c>
      <c r="S27" s="2">
        <v>33.937309999950202</v>
      </c>
      <c r="T27" s="2">
        <v>34.220743666635798</v>
      </c>
      <c r="U27" s="2" t="s">
        <v>44</v>
      </c>
      <c r="V27" s="2">
        <v>3</v>
      </c>
      <c r="W27" s="2">
        <v>1</v>
      </c>
      <c r="X27" s="2">
        <v>1</v>
      </c>
      <c r="Y27" s="2">
        <v>0.57913737499620799</v>
      </c>
      <c r="Z27" s="2"/>
      <c r="AA27" s="2"/>
      <c r="AB27" s="2"/>
      <c r="AC27" s="2"/>
      <c r="AD27" s="2" t="s">
        <v>38</v>
      </c>
      <c r="AE27" s="2">
        <v>1</v>
      </c>
      <c r="AF27" s="2" t="s">
        <v>39</v>
      </c>
      <c r="AG27" s="2" t="s">
        <v>40</v>
      </c>
      <c r="AH27" s="2"/>
      <c r="AI27" s="2" t="s">
        <v>41</v>
      </c>
      <c r="AJ27" s="2">
        <v>59.761224027050801</v>
      </c>
      <c r="AK27" s="2" t="s">
        <v>42</v>
      </c>
    </row>
    <row r="28" spans="1:37" x14ac:dyDescent="0.2">
      <c r="A28" s="2">
        <v>25</v>
      </c>
      <c r="B28" s="2">
        <v>0.5</v>
      </c>
      <c r="C28" s="2">
        <v>3</v>
      </c>
      <c r="D28" s="2">
        <v>34.2371663750382</v>
      </c>
      <c r="E28" s="2"/>
      <c r="F28" s="2"/>
      <c r="G28" s="2"/>
      <c r="H28" s="2"/>
      <c r="I28" s="2"/>
      <c r="J28" s="2"/>
      <c r="K28" s="2"/>
      <c r="L28" s="2"/>
      <c r="M28" s="2"/>
      <c r="N28" s="2">
        <v>34.220769166713602</v>
      </c>
      <c r="O28" s="2">
        <v>34.2371663750382</v>
      </c>
      <c r="P28" s="2">
        <v>34.737186750047798</v>
      </c>
      <c r="Q28" s="2">
        <v>34.7205622083275</v>
      </c>
      <c r="R28" s="2">
        <v>34.7205622083275</v>
      </c>
      <c r="S28" s="2">
        <v>35.020463791675901</v>
      </c>
      <c r="T28" s="2">
        <v>35.6708661667071</v>
      </c>
      <c r="U28" s="2" t="s">
        <v>43</v>
      </c>
      <c r="V28" s="2">
        <v>-3</v>
      </c>
      <c r="W28" s="2">
        <v>0</v>
      </c>
      <c r="X28" s="2">
        <v>0</v>
      </c>
      <c r="Y28" s="2">
        <v>0.94574470829684298</v>
      </c>
      <c r="Z28" s="2"/>
      <c r="AA28" s="2"/>
      <c r="AB28" s="2"/>
      <c r="AC28" s="2"/>
      <c r="AD28" s="2" t="s">
        <v>38</v>
      </c>
      <c r="AE28" s="2">
        <v>1</v>
      </c>
      <c r="AF28" s="2" t="s">
        <v>39</v>
      </c>
      <c r="AG28" s="2" t="s">
        <v>40</v>
      </c>
      <c r="AH28" s="2"/>
      <c r="AI28" s="2" t="s">
        <v>41</v>
      </c>
      <c r="AJ28" s="2">
        <v>59.761224027050801</v>
      </c>
      <c r="AK28" s="2" t="s">
        <v>42</v>
      </c>
    </row>
    <row r="29" spans="1:37" x14ac:dyDescent="0.2">
      <c r="A29" s="2">
        <v>26</v>
      </c>
      <c r="B29" s="2">
        <v>0.5</v>
      </c>
      <c r="C29" s="2">
        <v>3.5</v>
      </c>
      <c r="D29" s="2">
        <v>35.687190083321198</v>
      </c>
      <c r="E29" s="2"/>
      <c r="F29" s="2"/>
      <c r="G29" s="2"/>
      <c r="H29" s="2"/>
      <c r="I29" s="2"/>
      <c r="J29" s="2"/>
      <c r="K29" s="2"/>
      <c r="L29" s="2"/>
      <c r="M29" s="2"/>
      <c r="N29" s="2">
        <v>35.6709125833586</v>
      </c>
      <c r="O29" s="2">
        <v>35.687190083321198</v>
      </c>
      <c r="P29" s="2">
        <v>36.187333958339899</v>
      </c>
      <c r="Q29" s="2">
        <v>36.170551791670697</v>
      </c>
      <c r="R29" s="2">
        <v>36.170551791670697</v>
      </c>
      <c r="S29" s="2">
        <v>36.470653333351997</v>
      </c>
      <c r="T29" s="2">
        <v>36.720780125004197</v>
      </c>
      <c r="U29" s="2" t="s">
        <v>44</v>
      </c>
      <c r="V29" s="2">
        <v>3.5</v>
      </c>
      <c r="W29" s="2">
        <v>1</v>
      </c>
      <c r="X29" s="2">
        <v>1</v>
      </c>
      <c r="Y29" s="2">
        <v>0.53473820840008601</v>
      </c>
      <c r="Z29" s="2"/>
      <c r="AA29" s="2"/>
      <c r="AB29" s="2"/>
      <c r="AC29" s="2"/>
      <c r="AD29" s="2" t="s">
        <v>38</v>
      </c>
      <c r="AE29" s="2">
        <v>1</v>
      </c>
      <c r="AF29" s="2" t="s">
        <v>39</v>
      </c>
      <c r="AG29" s="2" t="s">
        <v>40</v>
      </c>
      <c r="AH29" s="2"/>
      <c r="AI29" s="2" t="s">
        <v>41</v>
      </c>
      <c r="AJ29" s="2">
        <v>59.761224027050801</v>
      </c>
      <c r="AK29" s="2" t="s">
        <v>42</v>
      </c>
    </row>
    <row r="30" spans="1:37" x14ac:dyDescent="0.2">
      <c r="A30" s="2">
        <v>27</v>
      </c>
      <c r="B30" s="2">
        <v>0.5</v>
      </c>
      <c r="C30" s="2">
        <v>3.5</v>
      </c>
      <c r="D30" s="2">
        <v>36.737352999975002</v>
      </c>
      <c r="E30" s="2"/>
      <c r="F30" s="2"/>
      <c r="G30" s="2"/>
      <c r="H30" s="2"/>
      <c r="I30" s="2"/>
      <c r="J30" s="2"/>
      <c r="K30" s="2"/>
      <c r="L30" s="2"/>
      <c r="M30" s="2"/>
      <c r="N30" s="2">
        <v>36.720808833371898</v>
      </c>
      <c r="O30" s="2">
        <v>36.737352999975002</v>
      </c>
      <c r="P30" s="2">
        <v>37.237228250014603</v>
      </c>
      <c r="Q30" s="2">
        <v>37.220502833370098</v>
      </c>
      <c r="R30" s="2">
        <v>37.220502833370098</v>
      </c>
      <c r="S30" s="2">
        <v>37.5206148333382</v>
      </c>
      <c r="T30" s="2">
        <v>37.8374225833686</v>
      </c>
      <c r="U30" s="2" t="s">
        <v>43</v>
      </c>
      <c r="V30" s="2">
        <v>-3.5</v>
      </c>
      <c r="W30" s="2">
        <v>1</v>
      </c>
      <c r="X30" s="2">
        <v>1</v>
      </c>
      <c r="Y30" s="2">
        <v>0.61377499997615803</v>
      </c>
      <c r="Z30" s="2"/>
      <c r="AA30" s="2"/>
      <c r="AB30" s="2"/>
      <c r="AC30" s="2"/>
      <c r="AD30" s="2" t="s">
        <v>38</v>
      </c>
      <c r="AE30" s="2">
        <v>1</v>
      </c>
      <c r="AF30" s="2" t="s">
        <v>39</v>
      </c>
      <c r="AG30" s="2" t="s">
        <v>40</v>
      </c>
      <c r="AH30" s="2"/>
      <c r="AI30" s="2" t="s">
        <v>41</v>
      </c>
      <c r="AJ30" s="2">
        <v>59.761224027050801</v>
      </c>
      <c r="AK30" s="2" t="s">
        <v>42</v>
      </c>
    </row>
    <row r="31" spans="1:37" x14ac:dyDescent="0.2">
      <c r="A31" s="2">
        <v>28</v>
      </c>
      <c r="B31" s="2">
        <v>0.5</v>
      </c>
      <c r="C31" s="2">
        <v>3.5</v>
      </c>
      <c r="D31" s="2">
        <v>37.853882499970503</v>
      </c>
      <c r="E31" s="2"/>
      <c r="F31" s="2"/>
      <c r="G31" s="2"/>
      <c r="H31" s="2"/>
      <c r="I31" s="2"/>
      <c r="J31" s="2"/>
      <c r="K31" s="2"/>
      <c r="L31" s="2"/>
      <c r="M31" s="2"/>
      <c r="N31" s="2">
        <v>37.837446875055299</v>
      </c>
      <c r="O31" s="2">
        <v>37.853882499970503</v>
      </c>
      <c r="P31" s="2">
        <v>38.353899708367003</v>
      </c>
      <c r="Q31" s="2">
        <v>38.337146125035403</v>
      </c>
      <c r="R31" s="2">
        <v>38.337146125035403</v>
      </c>
      <c r="S31" s="2">
        <v>38.637211250024897</v>
      </c>
      <c r="T31" s="2">
        <v>38.920673833345099</v>
      </c>
      <c r="U31" s="2" t="s">
        <v>43</v>
      </c>
      <c r="V31" s="2">
        <v>-3.5</v>
      </c>
      <c r="W31" s="2">
        <v>1</v>
      </c>
      <c r="X31" s="2">
        <v>1</v>
      </c>
      <c r="Y31" s="2">
        <v>0.56706854165531695</v>
      </c>
      <c r="Z31" s="2"/>
      <c r="AA31" s="2"/>
      <c r="AB31" s="2"/>
      <c r="AC31" s="2"/>
      <c r="AD31" s="2" t="s">
        <v>38</v>
      </c>
      <c r="AE31" s="2">
        <v>1</v>
      </c>
      <c r="AF31" s="2" t="s">
        <v>39</v>
      </c>
      <c r="AG31" s="2" t="s">
        <v>40</v>
      </c>
      <c r="AH31" s="2"/>
      <c r="AI31" s="2" t="s">
        <v>41</v>
      </c>
      <c r="AJ31" s="2">
        <v>59.761224027050801</v>
      </c>
      <c r="AK31" s="2" t="s">
        <v>42</v>
      </c>
    </row>
    <row r="32" spans="1:37" x14ac:dyDescent="0.2">
      <c r="A32" s="2">
        <v>29</v>
      </c>
      <c r="B32" s="2">
        <v>0.5</v>
      </c>
      <c r="C32" s="2">
        <v>3</v>
      </c>
      <c r="D32" s="2">
        <v>38.937164291623098</v>
      </c>
      <c r="E32" s="2"/>
      <c r="F32" s="2"/>
      <c r="G32" s="2"/>
      <c r="H32" s="2"/>
      <c r="I32" s="2"/>
      <c r="J32" s="2"/>
      <c r="K32" s="2"/>
      <c r="L32" s="2"/>
      <c r="M32" s="2"/>
      <c r="N32" s="2">
        <v>38.920702208299197</v>
      </c>
      <c r="O32" s="2">
        <v>38.937164291623098</v>
      </c>
      <c r="P32" s="2">
        <v>39.437300750054398</v>
      </c>
      <c r="Q32" s="2">
        <v>39.420691791689002</v>
      </c>
      <c r="R32" s="2">
        <v>39.420691791689002</v>
      </c>
      <c r="S32" s="2">
        <v>39.720654458389603</v>
      </c>
      <c r="T32" s="2">
        <v>40.104038625024302</v>
      </c>
      <c r="U32" s="2" t="s">
        <v>44</v>
      </c>
      <c r="V32" s="2">
        <v>3</v>
      </c>
      <c r="W32" s="2">
        <v>1</v>
      </c>
      <c r="X32" s="2">
        <v>1</v>
      </c>
      <c r="Y32" s="2">
        <v>0.67052091669756897</v>
      </c>
      <c r="Z32" s="2"/>
      <c r="AA32" s="2"/>
      <c r="AB32" s="2"/>
      <c r="AC32" s="2"/>
      <c r="AD32" s="2" t="s">
        <v>38</v>
      </c>
      <c r="AE32" s="2">
        <v>1</v>
      </c>
      <c r="AF32" s="2" t="s">
        <v>39</v>
      </c>
      <c r="AG32" s="2" t="s">
        <v>40</v>
      </c>
      <c r="AH32" s="2"/>
      <c r="AI32" s="2" t="s">
        <v>41</v>
      </c>
      <c r="AJ32" s="2">
        <v>59.761224027050801</v>
      </c>
      <c r="AK32" s="2" t="s">
        <v>42</v>
      </c>
    </row>
    <row r="33" spans="1:37" x14ac:dyDescent="0.2">
      <c r="A33" s="2">
        <v>30</v>
      </c>
      <c r="B33" s="2">
        <v>0.5</v>
      </c>
      <c r="C33" s="2">
        <v>3</v>
      </c>
      <c r="D33" s="2">
        <v>40.120678333332798</v>
      </c>
      <c r="E33" s="2"/>
      <c r="F33" s="2"/>
      <c r="G33" s="2"/>
      <c r="H33" s="2"/>
      <c r="I33" s="2"/>
      <c r="J33" s="2"/>
      <c r="K33" s="2"/>
      <c r="L33" s="2"/>
      <c r="M33" s="2"/>
      <c r="N33" s="2">
        <v>40.104061624966597</v>
      </c>
      <c r="O33" s="2">
        <v>40.120678333332798</v>
      </c>
      <c r="P33" s="2">
        <v>40.620618500048302</v>
      </c>
      <c r="Q33" s="2">
        <v>40.604000958381199</v>
      </c>
      <c r="R33" s="2">
        <v>40.604000958381199</v>
      </c>
      <c r="S33" s="2">
        <v>40.903896374977201</v>
      </c>
      <c r="T33" s="2">
        <v>41.120700333383901</v>
      </c>
      <c r="U33" s="2" t="s">
        <v>44</v>
      </c>
      <c r="V33" s="2">
        <v>3</v>
      </c>
      <c r="W33" s="2">
        <v>1</v>
      </c>
      <c r="X33" s="2">
        <v>1</v>
      </c>
      <c r="Y33" s="2">
        <v>0.50218708324246097</v>
      </c>
      <c r="Z33" s="2"/>
      <c r="AA33" s="2"/>
      <c r="AB33" s="2"/>
      <c r="AC33" s="2"/>
      <c r="AD33" s="2" t="s">
        <v>38</v>
      </c>
      <c r="AE33" s="2">
        <v>1</v>
      </c>
      <c r="AF33" s="2" t="s">
        <v>39</v>
      </c>
      <c r="AG33" s="2" t="s">
        <v>40</v>
      </c>
      <c r="AH33" s="2"/>
      <c r="AI33" s="2" t="s">
        <v>41</v>
      </c>
      <c r="AJ33" s="2">
        <v>59.761224027050801</v>
      </c>
      <c r="AK33" s="2" t="s">
        <v>42</v>
      </c>
    </row>
    <row r="34" spans="1:37" x14ac:dyDescent="0.2">
      <c r="A34" s="2">
        <v>31</v>
      </c>
      <c r="B34" s="2">
        <v>0.5</v>
      </c>
      <c r="C34" s="2">
        <v>3</v>
      </c>
      <c r="D34" s="2">
        <v>41.137185041676297</v>
      </c>
      <c r="E34" s="2"/>
      <c r="F34" s="2"/>
      <c r="G34" s="2"/>
      <c r="H34" s="2"/>
      <c r="I34" s="2"/>
      <c r="J34" s="2"/>
      <c r="K34" s="2"/>
      <c r="L34" s="2"/>
      <c r="M34" s="2"/>
      <c r="N34" s="2">
        <v>41.120723666623199</v>
      </c>
      <c r="O34" s="2">
        <v>41.137185041676297</v>
      </c>
      <c r="P34" s="2">
        <v>41.636221125023397</v>
      </c>
      <c r="Q34" s="2">
        <v>41.6205610416364</v>
      </c>
      <c r="R34" s="2">
        <v>41.6205610416364</v>
      </c>
      <c r="S34" s="2">
        <v>41.920433708350203</v>
      </c>
      <c r="T34" s="2">
        <v>42.270070124999599</v>
      </c>
      <c r="U34" s="2" t="s">
        <v>44</v>
      </c>
      <c r="V34" s="2">
        <v>3</v>
      </c>
      <c r="W34" s="2">
        <v>1</v>
      </c>
      <c r="X34" s="2">
        <v>1</v>
      </c>
      <c r="Y34" s="2">
        <v>0.63356020837090898</v>
      </c>
      <c r="Z34" s="2"/>
      <c r="AA34" s="2"/>
      <c r="AB34" s="2"/>
      <c r="AC34" s="2"/>
      <c r="AD34" s="2" t="s">
        <v>38</v>
      </c>
      <c r="AE34" s="2">
        <v>1</v>
      </c>
      <c r="AF34" s="2" t="s">
        <v>39</v>
      </c>
      <c r="AG34" s="2" t="s">
        <v>40</v>
      </c>
      <c r="AH34" s="2"/>
      <c r="AI34" s="2" t="s">
        <v>41</v>
      </c>
      <c r="AJ34" s="2">
        <v>59.761224027050801</v>
      </c>
      <c r="AK34" s="2" t="s">
        <v>42</v>
      </c>
    </row>
    <row r="35" spans="1:37" x14ac:dyDescent="0.2">
      <c r="A35" s="2">
        <v>32</v>
      </c>
      <c r="B35" s="2">
        <v>0.5</v>
      </c>
      <c r="C35" s="2">
        <v>2.5</v>
      </c>
      <c r="D35" s="2">
        <v>42.287283250014298</v>
      </c>
      <c r="E35" s="2"/>
      <c r="F35" s="2"/>
      <c r="G35" s="2"/>
      <c r="H35" s="2"/>
      <c r="I35" s="2"/>
      <c r="J35" s="2"/>
      <c r="K35" s="2"/>
      <c r="L35" s="2"/>
      <c r="M35" s="2"/>
      <c r="N35" s="2">
        <v>42.2701265416108</v>
      </c>
      <c r="O35" s="2">
        <v>42.287283250014298</v>
      </c>
      <c r="P35" s="2">
        <v>42.787178208352998</v>
      </c>
      <c r="Q35" s="2">
        <v>42.770567708299502</v>
      </c>
      <c r="R35" s="2">
        <v>42.770567708299502</v>
      </c>
      <c r="S35" s="2">
        <v>43.070679250056898</v>
      </c>
      <c r="T35" s="2">
        <v>43.354029375011997</v>
      </c>
      <c r="U35" s="2" t="s">
        <v>43</v>
      </c>
      <c r="V35" s="2">
        <v>-2.5</v>
      </c>
      <c r="W35" s="2">
        <v>1</v>
      </c>
      <c r="X35" s="2">
        <v>1</v>
      </c>
      <c r="Y35" s="2">
        <v>0.58256225008517504</v>
      </c>
      <c r="Z35" s="2"/>
      <c r="AA35" s="2"/>
      <c r="AB35" s="2"/>
      <c r="AC35" s="2"/>
      <c r="AD35" s="2" t="s">
        <v>38</v>
      </c>
      <c r="AE35" s="2">
        <v>1</v>
      </c>
      <c r="AF35" s="2" t="s">
        <v>39</v>
      </c>
      <c r="AG35" s="2" t="s">
        <v>40</v>
      </c>
      <c r="AH35" s="2"/>
      <c r="AI35" s="2" t="s">
        <v>41</v>
      </c>
      <c r="AJ35" s="2">
        <v>59.761224027050801</v>
      </c>
      <c r="AK35" s="2" t="s">
        <v>42</v>
      </c>
    </row>
    <row r="36" spans="1:37" x14ac:dyDescent="0.2">
      <c r="A36" s="2">
        <v>33</v>
      </c>
      <c r="B36" s="2">
        <v>0.5</v>
      </c>
      <c r="C36" s="2">
        <v>2.5</v>
      </c>
      <c r="D36" s="2">
        <v>43.369970125029802</v>
      </c>
      <c r="E36" s="2"/>
      <c r="F36" s="2"/>
      <c r="G36" s="2"/>
      <c r="H36" s="2"/>
      <c r="I36" s="2"/>
      <c r="J36" s="2"/>
      <c r="K36" s="2"/>
      <c r="L36" s="2"/>
      <c r="M36" s="2"/>
      <c r="N36" s="2">
        <v>43.354059791658102</v>
      </c>
      <c r="O36" s="2">
        <v>43.369970125029802</v>
      </c>
      <c r="P36" s="2">
        <v>43.870588083285803</v>
      </c>
      <c r="Q36" s="2">
        <v>43.853933000005803</v>
      </c>
      <c r="R36" s="2">
        <v>43.853933000005803</v>
      </c>
      <c r="S36" s="2">
        <v>44.153882583370397</v>
      </c>
      <c r="T36" s="2">
        <v>44.320648208377001</v>
      </c>
      <c r="U36" s="2" t="s">
        <v>43</v>
      </c>
      <c r="V36" s="2">
        <v>-2.5</v>
      </c>
      <c r="W36" s="2">
        <v>1</v>
      </c>
      <c r="X36" s="2">
        <v>1</v>
      </c>
      <c r="Y36" s="2">
        <v>0.460185708245263</v>
      </c>
      <c r="Z36" s="2"/>
      <c r="AA36" s="2"/>
      <c r="AB36" s="2"/>
      <c r="AC36" s="2"/>
      <c r="AD36" s="2" t="s">
        <v>38</v>
      </c>
      <c r="AE36" s="2">
        <v>1</v>
      </c>
      <c r="AF36" s="2" t="s">
        <v>39</v>
      </c>
      <c r="AG36" s="2" t="s">
        <v>40</v>
      </c>
      <c r="AH36" s="2"/>
      <c r="AI36" s="2" t="s">
        <v>41</v>
      </c>
      <c r="AJ36" s="2">
        <v>59.761224027050801</v>
      </c>
      <c r="AK36" s="2" t="s">
        <v>42</v>
      </c>
    </row>
    <row r="37" spans="1:37" x14ac:dyDescent="0.2">
      <c r="A37" s="2">
        <v>34</v>
      </c>
      <c r="B37" s="2">
        <v>0.5</v>
      </c>
      <c r="C37" s="2">
        <v>2.5</v>
      </c>
      <c r="D37" s="2">
        <v>44.336619250010699</v>
      </c>
      <c r="E37" s="2"/>
      <c r="F37" s="2"/>
      <c r="G37" s="2"/>
      <c r="H37" s="2"/>
      <c r="I37" s="2"/>
      <c r="J37" s="2"/>
      <c r="K37" s="2"/>
      <c r="L37" s="2"/>
      <c r="M37" s="2"/>
      <c r="N37" s="2">
        <v>44.320671375026002</v>
      </c>
      <c r="O37" s="2">
        <v>44.336619250010699</v>
      </c>
      <c r="P37" s="2">
        <v>44.837191791622899</v>
      </c>
      <c r="Q37" s="2">
        <v>44.820674708345898</v>
      </c>
      <c r="R37" s="2">
        <v>44.820674708345898</v>
      </c>
      <c r="S37" s="2">
        <v>45.120555749977903</v>
      </c>
      <c r="T37" s="2">
        <v>45.437269583344502</v>
      </c>
      <c r="U37" s="2" t="s">
        <v>43</v>
      </c>
      <c r="V37" s="2">
        <v>-2.5</v>
      </c>
      <c r="W37" s="2">
        <v>1</v>
      </c>
      <c r="X37" s="2">
        <v>1</v>
      </c>
      <c r="Y37" s="2">
        <v>0.605419791652821</v>
      </c>
      <c r="Z37" s="2"/>
      <c r="AA37" s="2"/>
      <c r="AB37" s="2"/>
      <c r="AC37" s="2"/>
      <c r="AD37" s="2" t="s">
        <v>38</v>
      </c>
      <c r="AE37" s="2">
        <v>1</v>
      </c>
      <c r="AF37" s="2" t="s">
        <v>39</v>
      </c>
      <c r="AG37" s="2" t="s">
        <v>40</v>
      </c>
      <c r="AH37" s="2"/>
      <c r="AI37" s="2" t="s">
        <v>41</v>
      </c>
      <c r="AJ37" s="2">
        <v>59.761224027050801</v>
      </c>
      <c r="AK37" s="2" t="s">
        <v>42</v>
      </c>
    </row>
    <row r="38" spans="1:37" x14ac:dyDescent="0.2">
      <c r="A38" s="2">
        <v>35</v>
      </c>
      <c r="B38" s="2">
        <v>0.5</v>
      </c>
      <c r="C38" s="2">
        <v>2</v>
      </c>
      <c r="D38" s="2">
        <v>45.4538424999919</v>
      </c>
      <c r="E38" s="2"/>
      <c r="F38" s="2"/>
      <c r="G38" s="2"/>
      <c r="H38" s="2"/>
      <c r="I38" s="2"/>
      <c r="J38" s="2"/>
      <c r="K38" s="2"/>
      <c r="L38" s="2"/>
      <c r="M38" s="2"/>
      <c r="N38" s="2">
        <v>45.437295375042602</v>
      </c>
      <c r="O38" s="2">
        <v>45.4538424999919</v>
      </c>
      <c r="P38" s="2">
        <v>45.953219874994801</v>
      </c>
      <c r="Q38" s="2">
        <v>45.936588833341403</v>
      </c>
      <c r="R38" s="2">
        <v>45.936588833341403</v>
      </c>
      <c r="S38" s="2">
        <v>46.237340416642802</v>
      </c>
      <c r="T38" s="2">
        <v>46.354008750058703</v>
      </c>
      <c r="U38" s="2" t="s">
        <v>43</v>
      </c>
      <c r="V38" s="2">
        <v>-2</v>
      </c>
      <c r="W38" s="2">
        <v>1</v>
      </c>
      <c r="X38" s="2">
        <v>1</v>
      </c>
      <c r="Y38" s="2">
        <v>0.41448895831126698</v>
      </c>
      <c r="Z38" s="2"/>
      <c r="AA38" s="2"/>
      <c r="AB38" s="2"/>
      <c r="AC38" s="2"/>
      <c r="AD38" s="2" t="s">
        <v>38</v>
      </c>
      <c r="AE38" s="2">
        <v>1</v>
      </c>
      <c r="AF38" s="2" t="s">
        <v>39</v>
      </c>
      <c r="AG38" s="2" t="s">
        <v>40</v>
      </c>
      <c r="AH38" s="2"/>
      <c r="AI38" s="2" t="s">
        <v>41</v>
      </c>
      <c r="AJ38" s="2">
        <v>59.761224027050801</v>
      </c>
      <c r="AK38" s="2" t="s">
        <v>42</v>
      </c>
    </row>
    <row r="39" spans="1:37" x14ac:dyDescent="0.2">
      <c r="A39" s="2">
        <v>36</v>
      </c>
      <c r="B39" s="2">
        <v>0.5</v>
      </c>
      <c r="C39" s="2">
        <v>2</v>
      </c>
      <c r="D39" s="2">
        <v>46.369520250009401</v>
      </c>
      <c r="E39" s="2"/>
      <c r="F39" s="2"/>
      <c r="G39" s="2"/>
      <c r="H39" s="2"/>
      <c r="I39" s="2"/>
      <c r="J39" s="2"/>
      <c r="K39" s="2"/>
      <c r="L39" s="2"/>
      <c r="M39" s="2"/>
      <c r="N39" s="2">
        <v>46.354037541663303</v>
      </c>
      <c r="O39" s="2">
        <v>46.369520250009401</v>
      </c>
      <c r="P39" s="2">
        <v>46.870648583280897</v>
      </c>
      <c r="Q39" s="2">
        <v>46.8538377917139</v>
      </c>
      <c r="R39" s="2">
        <v>46.8538377917139</v>
      </c>
      <c r="S39" s="2">
        <v>47.1529521666234</v>
      </c>
      <c r="T39" s="2">
        <v>47.220802833326204</v>
      </c>
      <c r="U39" s="2" t="s">
        <v>44</v>
      </c>
      <c r="V39" s="2">
        <v>2</v>
      </c>
      <c r="W39" s="2">
        <v>0</v>
      </c>
      <c r="X39" s="2">
        <v>0</v>
      </c>
      <c r="Y39" s="2">
        <v>0.36221820837818097</v>
      </c>
      <c r="Z39" s="2"/>
      <c r="AA39" s="2"/>
      <c r="AB39" s="2"/>
      <c r="AC39" s="2"/>
      <c r="AD39" s="2" t="s">
        <v>38</v>
      </c>
      <c r="AE39" s="2">
        <v>1</v>
      </c>
      <c r="AF39" s="2" t="s">
        <v>39</v>
      </c>
      <c r="AG39" s="2" t="s">
        <v>40</v>
      </c>
      <c r="AH39" s="2"/>
      <c r="AI39" s="2" t="s">
        <v>41</v>
      </c>
      <c r="AJ39" s="2">
        <v>59.761224027050801</v>
      </c>
      <c r="AK39" s="2" t="s">
        <v>42</v>
      </c>
    </row>
    <row r="40" spans="1:37" x14ac:dyDescent="0.2">
      <c r="A40" s="2">
        <v>37</v>
      </c>
      <c r="B40" s="2">
        <v>0.5</v>
      </c>
      <c r="C40" s="2">
        <v>2.5</v>
      </c>
      <c r="D40" s="2">
        <v>47.237241124967099</v>
      </c>
      <c r="E40" s="2"/>
      <c r="F40" s="2"/>
      <c r="G40" s="2"/>
      <c r="H40" s="2"/>
      <c r="I40" s="2"/>
      <c r="J40" s="2"/>
      <c r="K40" s="2"/>
      <c r="L40" s="2"/>
      <c r="M40" s="2"/>
      <c r="N40" s="2">
        <v>47.220826750039102</v>
      </c>
      <c r="O40" s="2">
        <v>47.237241124967099</v>
      </c>
      <c r="P40" s="2">
        <v>47.737166583305203</v>
      </c>
      <c r="Q40" s="2">
        <v>47.720585916657001</v>
      </c>
      <c r="R40" s="2">
        <v>47.720585916657001</v>
      </c>
      <c r="S40" s="2">
        <v>48.020499333389999</v>
      </c>
      <c r="T40" s="2">
        <v>48.337318458361601</v>
      </c>
      <c r="U40" s="2" t="s">
        <v>43</v>
      </c>
      <c r="V40" s="2">
        <v>-2.5</v>
      </c>
      <c r="W40" s="2">
        <v>1</v>
      </c>
      <c r="X40" s="2">
        <v>1</v>
      </c>
      <c r="Y40" s="2">
        <v>0.60104816674720496</v>
      </c>
      <c r="Z40" s="2"/>
      <c r="AA40" s="2"/>
      <c r="AB40" s="2"/>
      <c r="AC40" s="2"/>
      <c r="AD40" s="2" t="s">
        <v>38</v>
      </c>
      <c r="AE40" s="2">
        <v>1</v>
      </c>
      <c r="AF40" s="2" t="s">
        <v>39</v>
      </c>
      <c r="AG40" s="2" t="s">
        <v>40</v>
      </c>
      <c r="AH40" s="2"/>
      <c r="AI40" s="2" t="s">
        <v>41</v>
      </c>
      <c r="AJ40" s="2">
        <v>59.761224027050801</v>
      </c>
      <c r="AK40" s="2" t="s">
        <v>42</v>
      </c>
    </row>
    <row r="41" spans="1:37" x14ac:dyDescent="0.2">
      <c r="A41" s="2">
        <v>38</v>
      </c>
      <c r="B41" s="2">
        <v>0.5</v>
      </c>
      <c r="C41" s="2">
        <v>2.5</v>
      </c>
      <c r="D41" s="2">
        <v>48.353775375056998</v>
      </c>
      <c r="E41" s="2"/>
      <c r="F41" s="2"/>
      <c r="G41" s="2"/>
      <c r="H41" s="2"/>
      <c r="I41" s="2"/>
      <c r="J41" s="2"/>
      <c r="K41" s="2"/>
      <c r="L41" s="2"/>
      <c r="M41" s="2"/>
      <c r="N41" s="2">
        <v>48.337340041645803</v>
      </c>
      <c r="O41" s="2">
        <v>48.353775375056998</v>
      </c>
      <c r="P41" s="2">
        <v>48.853762791724897</v>
      </c>
      <c r="Q41" s="2">
        <v>48.837149833329001</v>
      </c>
      <c r="R41" s="2">
        <v>48.837149833329001</v>
      </c>
      <c r="S41" s="2">
        <v>49.137120625004201</v>
      </c>
      <c r="T41" s="2">
        <v>49.4039757499704</v>
      </c>
      <c r="U41" s="2" t="s">
        <v>44</v>
      </c>
      <c r="V41" s="2">
        <v>2.5</v>
      </c>
      <c r="W41" s="2">
        <v>1</v>
      </c>
      <c r="X41" s="2">
        <v>1</v>
      </c>
      <c r="Y41" s="2">
        <v>0.56185891665518295</v>
      </c>
      <c r="Z41" s="2"/>
      <c r="AA41" s="2"/>
      <c r="AB41" s="2"/>
      <c r="AC41" s="2"/>
      <c r="AD41" s="2" t="s">
        <v>38</v>
      </c>
      <c r="AE41" s="2">
        <v>1</v>
      </c>
      <c r="AF41" s="2" t="s">
        <v>39</v>
      </c>
      <c r="AG41" s="2" t="s">
        <v>40</v>
      </c>
      <c r="AH41" s="2"/>
      <c r="AI41" s="2" t="s">
        <v>41</v>
      </c>
      <c r="AJ41" s="2">
        <v>59.761224027050801</v>
      </c>
      <c r="AK41" s="2" t="s">
        <v>42</v>
      </c>
    </row>
    <row r="42" spans="1:37" x14ac:dyDescent="0.2">
      <c r="A42" s="2">
        <v>39</v>
      </c>
      <c r="B42" s="2">
        <v>0.5</v>
      </c>
      <c r="C42" s="2">
        <v>2.5</v>
      </c>
      <c r="D42" s="2">
        <v>49.420445083291298</v>
      </c>
      <c r="E42" s="2"/>
      <c r="F42" s="2"/>
      <c r="G42" s="2"/>
      <c r="H42" s="2"/>
      <c r="I42" s="2"/>
      <c r="J42" s="2"/>
      <c r="K42" s="2"/>
      <c r="L42" s="2"/>
      <c r="M42" s="2"/>
      <c r="N42" s="2">
        <v>49.403996375040201</v>
      </c>
      <c r="O42" s="2">
        <v>49.420445083291298</v>
      </c>
      <c r="P42" s="2">
        <v>49.920612458372503</v>
      </c>
      <c r="Q42" s="2">
        <v>49.903944333316801</v>
      </c>
      <c r="R42" s="2">
        <v>49.903944333316801</v>
      </c>
      <c r="S42" s="2">
        <v>50.203896166640298</v>
      </c>
      <c r="T42" s="2">
        <v>50.437355208327098</v>
      </c>
      <c r="U42" s="2" t="s">
        <v>44</v>
      </c>
      <c r="V42" s="2">
        <v>2.5</v>
      </c>
      <c r="W42" s="2">
        <v>1</v>
      </c>
      <c r="X42" s="2">
        <v>1</v>
      </c>
      <c r="Y42" s="2">
        <v>0.53001512493938197</v>
      </c>
      <c r="Z42" s="2"/>
      <c r="AA42" s="2"/>
      <c r="AB42" s="2"/>
      <c r="AC42" s="2"/>
      <c r="AD42" s="2" t="s">
        <v>38</v>
      </c>
      <c r="AE42" s="2">
        <v>1</v>
      </c>
      <c r="AF42" s="2" t="s">
        <v>39</v>
      </c>
      <c r="AG42" s="2" t="s">
        <v>40</v>
      </c>
      <c r="AH42" s="2"/>
      <c r="AI42" s="2" t="s">
        <v>41</v>
      </c>
      <c r="AJ42" s="2">
        <v>59.761224027050801</v>
      </c>
      <c r="AK42" s="2" t="s">
        <v>42</v>
      </c>
    </row>
    <row r="43" spans="1:37" x14ac:dyDescent="0.2">
      <c r="A43" s="2">
        <v>40</v>
      </c>
      <c r="B43" s="2">
        <v>0.5</v>
      </c>
      <c r="C43" s="2">
        <v>2</v>
      </c>
      <c r="D43" s="2">
        <v>50.453885333379702</v>
      </c>
      <c r="E43" s="2"/>
      <c r="F43" s="2"/>
      <c r="G43" s="2"/>
      <c r="H43" s="2"/>
      <c r="I43" s="2"/>
      <c r="J43" s="2"/>
      <c r="K43" s="2"/>
      <c r="L43" s="2"/>
      <c r="M43" s="2"/>
      <c r="N43" s="2">
        <v>50.437380041694297</v>
      </c>
      <c r="O43" s="2">
        <v>50.453885333379702</v>
      </c>
      <c r="P43" s="2">
        <v>50.9538915416924</v>
      </c>
      <c r="Q43" s="2">
        <v>50.937276916694799</v>
      </c>
      <c r="R43" s="2">
        <v>50.937276916694799</v>
      </c>
      <c r="S43" s="2">
        <v>51.237234374973902</v>
      </c>
      <c r="T43" s="2">
        <v>51.436378750018797</v>
      </c>
      <c r="U43" s="2" t="s">
        <v>43</v>
      </c>
      <c r="V43" s="2">
        <v>-2</v>
      </c>
      <c r="W43" s="2">
        <v>1</v>
      </c>
      <c r="X43" s="2">
        <v>1</v>
      </c>
      <c r="Y43" s="2">
        <v>0.486659749993123</v>
      </c>
      <c r="Z43" s="2"/>
      <c r="AA43" s="2"/>
      <c r="AB43" s="2"/>
      <c r="AC43" s="2"/>
      <c r="AD43" s="2" t="s">
        <v>38</v>
      </c>
      <c r="AE43" s="2">
        <v>1</v>
      </c>
      <c r="AF43" s="2" t="s">
        <v>39</v>
      </c>
      <c r="AG43" s="2" t="s">
        <v>40</v>
      </c>
      <c r="AH43" s="2"/>
      <c r="AI43" s="2" t="s">
        <v>41</v>
      </c>
      <c r="AJ43" s="2">
        <v>59.761224027050801</v>
      </c>
      <c r="AK43" s="2" t="s">
        <v>42</v>
      </c>
    </row>
    <row r="44" spans="1:37" x14ac:dyDescent="0.2">
      <c r="A44" s="2">
        <v>41</v>
      </c>
      <c r="B44" s="2">
        <v>0.5</v>
      </c>
      <c r="C44" s="2">
        <v>2</v>
      </c>
      <c r="D44" s="2">
        <v>51.453879666631103</v>
      </c>
      <c r="E44" s="2"/>
      <c r="F44" s="2"/>
      <c r="G44" s="2"/>
      <c r="H44" s="2"/>
      <c r="I44" s="2"/>
      <c r="J44" s="2"/>
      <c r="K44" s="2"/>
      <c r="L44" s="2"/>
      <c r="M44" s="2"/>
      <c r="N44" s="2">
        <v>51.436398999998403</v>
      </c>
      <c r="O44" s="2">
        <v>51.453879666631103</v>
      </c>
      <c r="P44" s="2">
        <v>51.953744708327598</v>
      </c>
      <c r="Q44" s="2">
        <v>51.936552625033102</v>
      </c>
      <c r="R44" s="2">
        <v>51.936552625033102</v>
      </c>
      <c r="S44" s="2">
        <v>52.236470874981002</v>
      </c>
      <c r="T44" s="2">
        <v>52.537514541647397</v>
      </c>
      <c r="U44" s="2" t="s">
        <v>44</v>
      </c>
      <c r="V44" s="2">
        <v>2</v>
      </c>
      <c r="W44" s="2">
        <v>1</v>
      </c>
      <c r="X44" s="2">
        <v>1</v>
      </c>
      <c r="Y44" s="2">
        <v>0.58837404160294704</v>
      </c>
      <c r="Z44" s="2"/>
      <c r="AA44" s="2"/>
      <c r="AB44" s="2"/>
      <c r="AC44" s="2"/>
      <c r="AD44" s="2" t="s">
        <v>38</v>
      </c>
      <c r="AE44" s="2">
        <v>1</v>
      </c>
      <c r="AF44" s="2" t="s">
        <v>39</v>
      </c>
      <c r="AG44" s="2" t="s">
        <v>40</v>
      </c>
      <c r="AH44" s="2"/>
      <c r="AI44" s="2" t="s">
        <v>41</v>
      </c>
      <c r="AJ44" s="2">
        <v>59.761224027050801</v>
      </c>
      <c r="AK44" s="2" t="s">
        <v>42</v>
      </c>
    </row>
    <row r="45" spans="1:37" x14ac:dyDescent="0.2">
      <c r="A45" s="2">
        <v>42</v>
      </c>
      <c r="B45" s="2">
        <v>0.5</v>
      </c>
      <c r="C45" s="2">
        <v>2</v>
      </c>
      <c r="D45" s="2">
        <v>52.553825416718603</v>
      </c>
      <c r="E45" s="2"/>
      <c r="F45" s="2"/>
      <c r="G45" s="2"/>
      <c r="H45" s="2"/>
      <c r="I45" s="2"/>
      <c r="J45" s="2"/>
      <c r="K45" s="2"/>
      <c r="L45" s="2"/>
      <c r="M45" s="2"/>
      <c r="N45" s="2">
        <v>52.537555124959901</v>
      </c>
      <c r="O45" s="2">
        <v>52.553825416718603</v>
      </c>
      <c r="P45" s="2">
        <v>53.053793458384497</v>
      </c>
      <c r="Q45" s="2">
        <v>53.037133666686699</v>
      </c>
      <c r="R45" s="2">
        <v>53.037133666686699</v>
      </c>
      <c r="S45" s="2">
        <v>53.337319791666197</v>
      </c>
      <c r="T45" s="2">
        <v>53.520760874962399</v>
      </c>
      <c r="U45" s="2" t="s">
        <v>44</v>
      </c>
      <c r="V45" s="2">
        <v>2</v>
      </c>
      <c r="W45" s="2">
        <v>0</v>
      </c>
      <c r="X45" s="2">
        <v>0</v>
      </c>
      <c r="Y45" s="2">
        <v>0.48077062494121497</v>
      </c>
      <c r="Z45" s="2"/>
      <c r="AA45" s="2"/>
      <c r="AB45" s="2"/>
      <c r="AC45" s="2"/>
      <c r="AD45" s="2" t="s">
        <v>38</v>
      </c>
      <c r="AE45" s="2">
        <v>1</v>
      </c>
      <c r="AF45" s="2" t="s">
        <v>39</v>
      </c>
      <c r="AG45" s="2" t="s">
        <v>40</v>
      </c>
      <c r="AH45" s="2"/>
      <c r="AI45" s="2" t="s">
        <v>41</v>
      </c>
      <c r="AJ45" s="2">
        <v>59.761224027050801</v>
      </c>
      <c r="AK45" s="2" t="s">
        <v>42</v>
      </c>
    </row>
    <row r="46" spans="1:37" x14ac:dyDescent="0.2">
      <c r="A46" s="2">
        <v>43</v>
      </c>
      <c r="B46" s="2">
        <v>0.5</v>
      </c>
      <c r="C46" s="2">
        <v>2.5</v>
      </c>
      <c r="D46" s="2">
        <v>53.537268624990297</v>
      </c>
      <c r="E46" s="2"/>
      <c r="F46" s="2"/>
      <c r="G46" s="2"/>
      <c r="H46" s="2"/>
      <c r="I46" s="2"/>
      <c r="J46" s="2"/>
      <c r="K46" s="2"/>
      <c r="L46" s="2"/>
      <c r="M46" s="2"/>
      <c r="N46" s="2">
        <v>53.520792916650002</v>
      </c>
      <c r="O46" s="2">
        <v>53.537268624990297</v>
      </c>
      <c r="P46" s="2">
        <v>54.037255083327203</v>
      </c>
      <c r="Q46" s="2">
        <v>54.0204189583892</v>
      </c>
      <c r="R46" s="2">
        <v>54.0204189583892</v>
      </c>
      <c r="S46" s="2">
        <v>54.320606291643301</v>
      </c>
      <c r="T46" s="2">
        <v>54.6868404999841</v>
      </c>
      <c r="U46" s="2" t="s">
        <v>43</v>
      </c>
      <c r="V46" s="2">
        <v>-2.5</v>
      </c>
      <c r="W46" s="2">
        <v>1</v>
      </c>
      <c r="X46" s="2">
        <v>1</v>
      </c>
      <c r="Y46" s="2">
        <v>0.65476041659712803</v>
      </c>
      <c r="Z46" s="2"/>
      <c r="AA46" s="2"/>
      <c r="AB46" s="2"/>
      <c r="AC46" s="2"/>
      <c r="AD46" s="2" t="s">
        <v>38</v>
      </c>
      <c r="AE46" s="2">
        <v>1</v>
      </c>
      <c r="AF46" s="2" t="s">
        <v>39</v>
      </c>
      <c r="AG46" s="2" t="s">
        <v>40</v>
      </c>
      <c r="AH46" s="2"/>
      <c r="AI46" s="2" t="s">
        <v>41</v>
      </c>
      <c r="AJ46" s="2">
        <v>59.761224027050801</v>
      </c>
      <c r="AK46" s="2" t="s">
        <v>42</v>
      </c>
    </row>
    <row r="47" spans="1:37" x14ac:dyDescent="0.2">
      <c r="A47" s="2">
        <v>44</v>
      </c>
      <c r="B47" s="2">
        <v>0.5</v>
      </c>
      <c r="C47" s="2">
        <v>2.5</v>
      </c>
      <c r="D47" s="2">
        <v>54.703790208324797</v>
      </c>
      <c r="E47" s="2"/>
      <c r="F47" s="2"/>
      <c r="G47" s="2"/>
      <c r="H47" s="2"/>
      <c r="I47" s="2"/>
      <c r="J47" s="2"/>
      <c r="K47" s="2"/>
      <c r="L47" s="2"/>
      <c r="M47" s="2"/>
      <c r="N47" s="2">
        <v>54.686866124975502</v>
      </c>
      <c r="O47" s="2">
        <v>54.703790208324797</v>
      </c>
      <c r="P47" s="2">
        <v>55.203753708279699</v>
      </c>
      <c r="Q47" s="2">
        <v>55.187135666725197</v>
      </c>
      <c r="R47" s="2">
        <v>55.187135666725197</v>
      </c>
      <c r="S47" s="2">
        <v>55.486412666621597</v>
      </c>
      <c r="T47" s="2">
        <v>55.820832500001401</v>
      </c>
      <c r="U47" s="2" t="s">
        <v>43</v>
      </c>
      <c r="V47" s="2">
        <v>-2.5</v>
      </c>
      <c r="W47" s="2">
        <v>1</v>
      </c>
      <c r="X47" s="2">
        <v>1</v>
      </c>
      <c r="Y47" s="2">
        <v>0.62673137499950804</v>
      </c>
      <c r="Z47" s="2"/>
      <c r="AA47" s="2"/>
      <c r="AB47" s="2"/>
      <c r="AC47" s="2"/>
      <c r="AD47" s="2" t="s">
        <v>38</v>
      </c>
      <c r="AE47" s="2">
        <v>1</v>
      </c>
      <c r="AF47" s="2" t="s">
        <v>39</v>
      </c>
      <c r="AG47" s="2" t="s">
        <v>40</v>
      </c>
      <c r="AH47" s="2"/>
      <c r="AI47" s="2" t="s">
        <v>41</v>
      </c>
      <c r="AJ47" s="2">
        <v>59.761224027050801</v>
      </c>
      <c r="AK47" s="2" t="s">
        <v>42</v>
      </c>
    </row>
    <row r="48" spans="1:37" x14ac:dyDescent="0.2">
      <c r="A48" s="2">
        <v>45</v>
      </c>
      <c r="B48" s="2">
        <v>0.5</v>
      </c>
      <c r="C48" s="2">
        <v>2.5</v>
      </c>
      <c r="D48" s="2">
        <v>55.836849791696302</v>
      </c>
      <c r="E48" s="2"/>
      <c r="F48" s="2"/>
      <c r="G48" s="2"/>
      <c r="H48" s="2"/>
      <c r="I48" s="2"/>
      <c r="J48" s="2"/>
      <c r="K48" s="2"/>
      <c r="L48" s="2"/>
      <c r="M48" s="2"/>
      <c r="N48" s="2">
        <v>55.820856499951297</v>
      </c>
      <c r="O48" s="2">
        <v>55.836849791696302</v>
      </c>
      <c r="P48" s="2">
        <v>56.337163166725098</v>
      </c>
      <c r="Q48" s="2">
        <v>56.320414541638499</v>
      </c>
      <c r="R48" s="2">
        <v>56.320414541638499</v>
      </c>
      <c r="S48" s="2">
        <v>56.620488250046002</v>
      </c>
      <c r="T48" s="2">
        <v>56.953348250011899</v>
      </c>
      <c r="U48" s="2" t="s">
        <v>44</v>
      </c>
      <c r="V48" s="2">
        <v>2.5</v>
      </c>
      <c r="W48" s="2">
        <v>1</v>
      </c>
      <c r="X48" s="2">
        <v>1</v>
      </c>
      <c r="Y48" s="2">
        <v>0.62742208328563698</v>
      </c>
      <c r="Z48" s="2"/>
      <c r="AA48" s="2"/>
      <c r="AB48" s="2"/>
      <c r="AC48" s="2"/>
      <c r="AD48" s="2" t="s">
        <v>38</v>
      </c>
      <c r="AE48" s="2">
        <v>1</v>
      </c>
      <c r="AF48" s="2" t="s">
        <v>39</v>
      </c>
      <c r="AG48" s="2" t="s">
        <v>40</v>
      </c>
      <c r="AH48" s="2"/>
      <c r="AI48" s="2" t="s">
        <v>41</v>
      </c>
      <c r="AJ48" s="2">
        <v>59.761224027050801</v>
      </c>
      <c r="AK48" s="2" t="s">
        <v>42</v>
      </c>
    </row>
    <row r="49" spans="1:37" x14ac:dyDescent="0.2">
      <c r="A49" s="2">
        <v>46</v>
      </c>
      <c r="B49" s="2">
        <v>0.5</v>
      </c>
      <c r="C49" s="2">
        <v>2</v>
      </c>
      <c r="D49" s="2">
        <v>56.970500000054002</v>
      </c>
      <c r="E49" s="2"/>
      <c r="F49" s="2"/>
      <c r="G49" s="2"/>
      <c r="H49" s="2"/>
      <c r="I49" s="2"/>
      <c r="J49" s="2"/>
      <c r="K49" s="2"/>
      <c r="L49" s="2"/>
      <c r="M49" s="2"/>
      <c r="N49" s="2">
        <v>56.9533734583529</v>
      </c>
      <c r="O49" s="2">
        <v>56.970500000054002</v>
      </c>
      <c r="P49" s="2">
        <v>57.470647208392599</v>
      </c>
      <c r="Q49" s="2">
        <v>57.453844166709999</v>
      </c>
      <c r="R49" s="2">
        <v>57.453844166709999</v>
      </c>
      <c r="S49" s="2">
        <v>57.753958166693302</v>
      </c>
      <c r="T49" s="2">
        <v>58.637292125029497</v>
      </c>
      <c r="U49" s="2" t="s">
        <v>44</v>
      </c>
      <c r="V49" s="2">
        <v>2</v>
      </c>
      <c r="W49" s="2">
        <v>1</v>
      </c>
      <c r="X49" s="2">
        <v>1</v>
      </c>
      <c r="Y49" s="2">
        <v>1.17495504161343</v>
      </c>
      <c r="Z49" s="2"/>
      <c r="AA49" s="2"/>
      <c r="AB49" s="2"/>
      <c r="AC49" s="2"/>
      <c r="AD49" s="2" t="s">
        <v>38</v>
      </c>
      <c r="AE49" s="2">
        <v>1</v>
      </c>
      <c r="AF49" s="2" t="s">
        <v>39</v>
      </c>
      <c r="AG49" s="2" t="s">
        <v>40</v>
      </c>
      <c r="AH49" s="2"/>
      <c r="AI49" s="2" t="s">
        <v>41</v>
      </c>
      <c r="AJ49" s="2">
        <v>59.761224027050801</v>
      </c>
      <c r="AK49" s="2" t="s">
        <v>42</v>
      </c>
    </row>
    <row r="50" spans="1:37" x14ac:dyDescent="0.2">
      <c r="A50" s="2">
        <v>47</v>
      </c>
      <c r="B50" s="2">
        <v>0.5</v>
      </c>
      <c r="C50" s="2">
        <v>2</v>
      </c>
      <c r="D50" s="2">
        <v>58.653916375013097</v>
      </c>
      <c r="E50" s="2"/>
      <c r="F50" s="2"/>
      <c r="G50" s="2"/>
      <c r="H50" s="2"/>
      <c r="I50" s="2"/>
      <c r="J50" s="2"/>
      <c r="K50" s="2"/>
      <c r="L50" s="2"/>
      <c r="M50" s="2"/>
      <c r="N50" s="2">
        <v>58.637314791674697</v>
      </c>
      <c r="O50" s="2">
        <v>58.653916375013097</v>
      </c>
      <c r="P50" s="2">
        <v>59.153852416668101</v>
      </c>
      <c r="Q50" s="2">
        <v>59.137218583375201</v>
      </c>
      <c r="R50" s="2">
        <v>59.137218583375201</v>
      </c>
      <c r="S50" s="2">
        <v>59.437148833298103</v>
      </c>
      <c r="T50" s="2">
        <v>59.770704791648299</v>
      </c>
      <c r="U50" s="2" t="s">
        <v>44</v>
      </c>
      <c r="V50" s="2">
        <v>2</v>
      </c>
      <c r="W50" s="2">
        <v>0</v>
      </c>
      <c r="X50" s="2">
        <v>0</v>
      </c>
      <c r="Y50" s="2">
        <v>0.62354624993167795</v>
      </c>
      <c r="Z50" s="2"/>
      <c r="AA50" s="2"/>
      <c r="AB50" s="2"/>
      <c r="AC50" s="2"/>
      <c r="AD50" s="2" t="s">
        <v>38</v>
      </c>
      <c r="AE50" s="2">
        <v>1</v>
      </c>
      <c r="AF50" s="2" t="s">
        <v>39</v>
      </c>
      <c r="AG50" s="2" t="s">
        <v>40</v>
      </c>
      <c r="AH50" s="2"/>
      <c r="AI50" s="2" t="s">
        <v>41</v>
      </c>
      <c r="AJ50" s="2">
        <v>59.761224027050801</v>
      </c>
      <c r="AK50" s="2" t="s">
        <v>42</v>
      </c>
    </row>
    <row r="51" spans="1:37" x14ac:dyDescent="0.2">
      <c r="A51" s="2">
        <v>48</v>
      </c>
      <c r="B51" s="2">
        <v>0.5</v>
      </c>
      <c r="C51" s="2">
        <v>2.5</v>
      </c>
      <c r="D51" s="2">
        <v>59.787147958297297</v>
      </c>
      <c r="E51" s="2"/>
      <c r="F51" s="2"/>
      <c r="G51" s="2"/>
      <c r="H51" s="2"/>
      <c r="I51" s="2"/>
      <c r="J51" s="2"/>
      <c r="K51" s="2"/>
      <c r="L51" s="2"/>
      <c r="M51" s="2"/>
      <c r="N51" s="2">
        <v>59.770729874959201</v>
      </c>
      <c r="O51" s="2">
        <v>59.787147958297297</v>
      </c>
      <c r="P51" s="2">
        <v>60.287115166662304</v>
      </c>
      <c r="Q51" s="2">
        <v>60.270477416692302</v>
      </c>
      <c r="R51" s="2">
        <v>60.270477416692302</v>
      </c>
      <c r="S51" s="2">
        <v>60.570641999947803</v>
      </c>
      <c r="T51" s="2">
        <v>60.920746041694699</v>
      </c>
      <c r="U51" s="2" t="s">
        <v>43</v>
      </c>
      <c r="V51" s="2">
        <v>-2.5</v>
      </c>
      <c r="W51" s="2">
        <v>1</v>
      </c>
      <c r="X51" s="2">
        <v>1</v>
      </c>
      <c r="Y51" s="2">
        <v>0.64227262500207905</v>
      </c>
      <c r="Z51" s="2"/>
      <c r="AA51" s="2"/>
      <c r="AB51" s="2"/>
      <c r="AC51" s="2"/>
      <c r="AD51" s="2" t="s">
        <v>38</v>
      </c>
      <c r="AE51" s="2">
        <v>1</v>
      </c>
      <c r="AF51" s="2" t="s">
        <v>39</v>
      </c>
      <c r="AG51" s="2" t="s">
        <v>40</v>
      </c>
      <c r="AH51" s="2"/>
      <c r="AI51" s="2" t="s">
        <v>41</v>
      </c>
      <c r="AJ51" s="2">
        <v>59.761224027050801</v>
      </c>
      <c r="AK51" s="2" t="s">
        <v>42</v>
      </c>
    </row>
    <row r="52" spans="1:37" x14ac:dyDescent="0.2">
      <c r="A52" s="2">
        <v>49</v>
      </c>
      <c r="B52" s="2">
        <v>0.5</v>
      </c>
      <c r="C52" s="2">
        <v>2.5</v>
      </c>
      <c r="D52" s="2">
        <v>60.937234999961198</v>
      </c>
      <c r="E52" s="2"/>
      <c r="F52" s="2"/>
      <c r="G52" s="2"/>
      <c r="H52" s="2"/>
      <c r="I52" s="2"/>
      <c r="J52" s="2"/>
      <c r="K52" s="2"/>
      <c r="L52" s="2"/>
      <c r="M52" s="2"/>
      <c r="N52" s="2">
        <v>60.920766750001398</v>
      </c>
      <c r="O52" s="2">
        <v>60.937234999961198</v>
      </c>
      <c r="P52" s="2">
        <v>61.437140249996503</v>
      </c>
      <c r="Q52" s="2">
        <v>61.420548458350801</v>
      </c>
      <c r="R52" s="2">
        <v>61.420548458350801</v>
      </c>
      <c r="S52" s="2">
        <v>61.736595916678198</v>
      </c>
      <c r="T52" s="2">
        <v>62.003540291683798</v>
      </c>
      <c r="U52" s="2" t="s">
        <v>44</v>
      </c>
      <c r="V52" s="2">
        <v>2.5</v>
      </c>
      <c r="W52" s="2">
        <v>1</v>
      </c>
      <c r="X52" s="2">
        <v>1</v>
      </c>
      <c r="Y52" s="2">
        <v>0.57515204162336897</v>
      </c>
      <c r="Z52" s="2"/>
      <c r="AA52" s="2"/>
      <c r="AB52" s="2"/>
      <c r="AC52" s="2"/>
      <c r="AD52" s="2" t="s">
        <v>38</v>
      </c>
      <c r="AE52" s="2">
        <v>1</v>
      </c>
      <c r="AF52" s="2" t="s">
        <v>39</v>
      </c>
      <c r="AG52" s="2" t="s">
        <v>40</v>
      </c>
      <c r="AH52" s="2"/>
      <c r="AI52" s="2" t="s">
        <v>41</v>
      </c>
      <c r="AJ52" s="2">
        <v>59.761224027050801</v>
      </c>
      <c r="AK52" s="2" t="s">
        <v>42</v>
      </c>
    </row>
    <row r="53" spans="1:37" x14ac:dyDescent="0.2">
      <c r="A53" s="2">
        <v>50</v>
      </c>
      <c r="B53" s="2">
        <v>0.5</v>
      </c>
      <c r="C53" s="2">
        <v>2.5</v>
      </c>
      <c r="D53" s="2">
        <v>62.019286124967003</v>
      </c>
      <c r="E53" s="2"/>
      <c r="F53" s="2"/>
      <c r="G53" s="2"/>
      <c r="H53" s="2"/>
      <c r="I53" s="2"/>
      <c r="J53" s="2"/>
      <c r="K53" s="2"/>
      <c r="L53" s="2"/>
      <c r="M53" s="2"/>
      <c r="N53" s="2">
        <v>62.003591625019901</v>
      </c>
      <c r="O53" s="2">
        <v>62.019286124967003</v>
      </c>
      <c r="P53" s="2">
        <v>62.520554666640201</v>
      </c>
      <c r="Q53" s="2">
        <v>62.503744874964497</v>
      </c>
      <c r="R53" s="2">
        <v>62.503744874964497</v>
      </c>
      <c r="S53" s="2">
        <v>62.803832500008902</v>
      </c>
      <c r="T53" s="2">
        <v>63.154144125059297</v>
      </c>
      <c r="U53" s="2" t="s">
        <v>43</v>
      </c>
      <c r="V53" s="2">
        <v>-2.5</v>
      </c>
      <c r="W53" s="2">
        <v>1</v>
      </c>
      <c r="X53" s="2">
        <v>1</v>
      </c>
      <c r="Y53" s="2">
        <v>0.63794537505600601</v>
      </c>
      <c r="Z53" s="2"/>
      <c r="AA53" s="2"/>
      <c r="AB53" s="2"/>
      <c r="AC53" s="2"/>
      <c r="AD53" s="2" t="s">
        <v>38</v>
      </c>
      <c r="AE53" s="2">
        <v>1</v>
      </c>
      <c r="AF53" s="2" t="s">
        <v>39</v>
      </c>
      <c r="AG53" s="2" t="s">
        <v>40</v>
      </c>
      <c r="AH53" s="2"/>
      <c r="AI53" s="2" t="s">
        <v>41</v>
      </c>
      <c r="AJ53" s="2">
        <v>59.761224027050801</v>
      </c>
      <c r="AK53" s="2" t="s">
        <v>42</v>
      </c>
    </row>
    <row r="54" spans="1:37" x14ac:dyDescent="0.2">
      <c r="A54" s="2">
        <v>51</v>
      </c>
      <c r="B54" s="2">
        <v>0.5</v>
      </c>
      <c r="C54" s="2">
        <v>2</v>
      </c>
      <c r="D54" s="2">
        <v>63.170477750012701</v>
      </c>
      <c r="E54" s="2"/>
      <c r="F54" s="2"/>
      <c r="G54" s="2"/>
      <c r="H54" s="2"/>
      <c r="I54" s="2"/>
      <c r="J54" s="2"/>
      <c r="K54" s="2"/>
      <c r="L54" s="2"/>
      <c r="M54" s="2"/>
      <c r="N54" s="2">
        <v>63.154181541642203</v>
      </c>
      <c r="O54" s="2">
        <v>63.170477750012701</v>
      </c>
      <c r="P54" s="2">
        <v>63.670414416701497</v>
      </c>
      <c r="Q54" s="2">
        <v>63.6537702083588</v>
      </c>
      <c r="R54" s="2">
        <v>63.6537702083588</v>
      </c>
      <c r="S54" s="2">
        <v>63.953942875028602</v>
      </c>
      <c r="T54" s="2">
        <v>64.154123708372893</v>
      </c>
      <c r="U54" s="2" t="s">
        <v>44</v>
      </c>
      <c r="V54" s="2">
        <v>2</v>
      </c>
      <c r="W54" s="2">
        <v>1</v>
      </c>
      <c r="X54" s="2">
        <v>1</v>
      </c>
      <c r="Y54" s="2">
        <v>0.49490954168140899</v>
      </c>
      <c r="Z54" s="2"/>
      <c r="AA54" s="2"/>
      <c r="AB54" s="2"/>
      <c r="AC54" s="2"/>
      <c r="AD54" s="2" t="s">
        <v>38</v>
      </c>
      <c r="AE54" s="2">
        <v>1</v>
      </c>
      <c r="AF54" s="2" t="s">
        <v>39</v>
      </c>
      <c r="AG54" s="2" t="s">
        <v>40</v>
      </c>
      <c r="AH54" s="2"/>
      <c r="AI54" s="2" t="s">
        <v>41</v>
      </c>
      <c r="AJ54" s="2">
        <v>59.761224027050801</v>
      </c>
      <c r="AK54" s="2" t="s">
        <v>42</v>
      </c>
    </row>
    <row r="55" spans="1:37" x14ac:dyDescent="0.2">
      <c r="A55" s="2">
        <v>52</v>
      </c>
      <c r="B55" s="2">
        <v>0.5</v>
      </c>
      <c r="C55" s="2">
        <v>2</v>
      </c>
      <c r="D55" s="2">
        <v>64.1705651666271</v>
      </c>
      <c r="E55" s="2"/>
      <c r="F55" s="2"/>
      <c r="G55" s="2"/>
      <c r="H55" s="2"/>
      <c r="I55" s="2"/>
      <c r="J55" s="2"/>
      <c r="K55" s="2"/>
      <c r="L55" s="2"/>
      <c r="M55" s="2"/>
      <c r="N55" s="2">
        <v>64.154151124996105</v>
      </c>
      <c r="O55" s="2">
        <v>64.1705651666271</v>
      </c>
      <c r="P55" s="2">
        <v>64.670525499968804</v>
      </c>
      <c r="Q55" s="2">
        <v>64.653889041626798</v>
      </c>
      <c r="R55" s="2">
        <v>64.653889041626798</v>
      </c>
      <c r="S55" s="2">
        <v>64.9538167916471</v>
      </c>
      <c r="T55" s="2">
        <v>65.220676749944701</v>
      </c>
      <c r="U55" s="2" t="s">
        <v>43</v>
      </c>
      <c r="V55" s="2">
        <v>-2</v>
      </c>
      <c r="W55" s="2">
        <v>1</v>
      </c>
      <c r="X55" s="2">
        <v>1</v>
      </c>
      <c r="Y55" s="2">
        <v>0.56176808325108096</v>
      </c>
      <c r="Z55" s="2"/>
      <c r="AA55" s="2"/>
      <c r="AB55" s="2"/>
      <c r="AC55" s="2"/>
      <c r="AD55" s="2" t="s">
        <v>38</v>
      </c>
      <c r="AE55" s="2">
        <v>1</v>
      </c>
      <c r="AF55" s="2" t="s">
        <v>39</v>
      </c>
      <c r="AG55" s="2" t="s">
        <v>40</v>
      </c>
      <c r="AH55" s="2"/>
      <c r="AI55" s="2" t="s">
        <v>41</v>
      </c>
      <c r="AJ55" s="2">
        <v>59.761224027050801</v>
      </c>
      <c r="AK55" s="2" t="s">
        <v>42</v>
      </c>
    </row>
    <row r="56" spans="1:37" x14ac:dyDescent="0.2">
      <c r="A56" s="2">
        <v>53</v>
      </c>
      <c r="B56" s="2">
        <v>0.5</v>
      </c>
      <c r="C56" s="2">
        <v>2</v>
      </c>
      <c r="D56" s="2">
        <v>65.237096125027193</v>
      </c>
      <c r="E56" s="2"/>
      <c r="F56" s="2"/>
      <c r="G56" s="2"/>
      <c r="H56" s="2"/>
      <c r="I56" s="2"/>
      <c r="J56" s="2"/>
      <c r="K56" s="2"/>
      <c r="L56" s="2"/>
      <c r="M56" s="2"/>
      <c r="N56" s="2">
        <v>65.220703791710605</v>
      </c>
      <c r="O56" s="2">
        <v>65.237096125027193</v>
      </c>
      <c r="P56" s="2">
        <v>65.7370835833717</v>
      </c>
      <c r="Q56" s="2">
        <v>65.720459499978503</v>
      </c>
      <c r="R56" s="2">
        <v>65.720459499978503</v>
      </c>
      <c r="S56" s="2">
        <v>66.020384333329304</v>
      </c>
      <c r="T56" s="2">
        <v>66.169648666633293</v>
      </c>
      <c r="U56" s="2" t="s">
        <v>44</v>
      </c>
      <c r="V56" s="2">
        <v>2</v>
      </c>
      <c r="W56" s="2">
        <v>1</v>
      </c>
      <c r="X56" s="2">
        <v>1</v>
      </c>
      <c r="Y56" s="2">
        <v>0.44416279171127798</v>
      </c>
      <c r="Z56" s="2"/>
      <c r="AA56" s="2"/>
      <c r="AB56" s="2"/>
      <c r="AC56" s="2"/>
      <c r="AD56" s="2" t="s">
        <v>38</v>
      </c>
      <c r="AE56" s="2">
        <v>1</v>
      </c>
      <c r="AF56" s="2" t="s">
        <v>39</v>
      </c>
      <c r="AG56" s="2" t="s">
        <v>40</v>
      </c>
      <c r="AH56" s="2"/>
      <c r="AI56" s="2" t="s">
        <v>41</v>
      </c>
      <c r="AJ56" s="2">
        <v>59.761224027050801</v>
      </c>
      <c r="AK56" s="2" t="s">
        <v>42</v>
      </c>
    </row>
    <row r="57" spans="1:37" x14ac:dyDescent="0.2">
      <c r="A57" s="2">
        <v>54</v>
      </c>
      <c r="B57" s="2">
        <v>0.5</v>
      </c>
      <c r="C57" s="2">
        <v>1.5</v>
      </c>
      <c r="D57" s="2">
        <v>66.187150166719206</v>
      </c>
      <c r="E57" s="2"/>
      <c r="F57" s="2"/>
      <c r="G57" s="2"/>
      <c r="H57" s="2"/>
      <c r="I57" s="2"/>
      <c r="J57" s="2"/>
      <c r="K57" s="2"/>
      <c r="L57" s="2"/>
      <c r="M57" s="2"/>
      <c r="N57" s="2">
        <v>66.169688374968302</v>
      </c>
      <c r="O57" s="2">
        <v>66.187150166719206</v>
      </c>
      <c r="P57" s="2">
        <v>66.687086708378104</v>
      </c>
      <c r="Q57" s="2">
        <v>66.670464291702999</v>
      </c>
      <c r="R57" s="2">
        <v>66.670464291702999</v>
      </c>
      <c r="S57" s="2">
        <v>66.970435125054806</v>
      </c>
      <c r="T57" s="2">
        <v>67.003848041640595</v>
      </c>
      <c r="U57" s="2" t="s">
        <v>44</v>
      </c>
      <c r="V57" s="2">
        <v>1.5</v>
      </c>
      <c r="W57" s="2">
        <v>0</v>
      </c>
      <c r="X57" s="2">
        <v>0</v>
      </c>
      <c r="Y57" s="2">
        <v>0.31814937491435602</v>
      </c>
      <c r="Z57" s="2"/>
      <c r="AA57" s="2"/>
      <c r="AB57" s="2"/>
      <c r="AC57" s="2"/>
      <c r="AD57" s="2" t="s">
        <v>38</v>
      </c>
      <c r="AE57" s="2">
        <v>1</v>
      </c>
      <c r="AF57" s="2" t="s">
        <v>39</v>
      </c>
      <c r="AG57" s="2" t="s">
        <v>40</v>
      </c>
      <c r="AH57" s="2"/>
      <c r="AI57" s="2" t="s">
        <v>41</v>
      </c>
      <c r="AJ57" s="2">
        <v>59.761224027050801</v>
      </c>
      <c r="AK57" s="2" t="s">
        <v>42</v>
      </c>
    </row>
    <row r="58" spans="1:37" x14ac:dyDescent="0.2">
      <c r="A58" s="2">
        <v>55</v>
      </c>
      <c r="B58" s="2">
        <v>0.5</v>
      </c>
      <c r="C58" s="2">
        <v>2</v>
      </c>
      <c r="D58" s="2">
        <v>67.020454208366601</v>
      </c>
      <c r="E58" s="2"/>
      <c r="F58" s="2"/>
      <c r="G58" s="2"/>
      <c r="H58" s="2"/>
      <c r="I58" s="2"/>
      <c r="J58" s="2"/>
      <c r="K58" s="2"/>
      <c r="L58" s="2"/>
      <c r="M58" s="2"/>
      <c r="N58" s="2">
        <v>67.003880125004798</v>
      </c>
      <c r="O58" s="2">
        <v>67.020454208366601</v>
      </c>
      <c r="P58" s="2">
        <v>67.520598916686097</v>
      </c>
      <c r="Q58" s="2">
        <v>67.503769583301604</v>
      </c>
      <c r="R58" s="2">
        <v>67.503769583301604</v>
      </c>
      <c r="S58" s="2">
        <v>67.803914291667795</v>
      </c>
      <c r="T58" s="2">
        <v>68.337327291723298</v>
      </c>
      <c r="U58" s="2" t="s">
        <v>43</v>
      </c>
      <c r="V58" s="2">
        <v>-2</v>
      </c>
      <c r="W58" s="2">
        <v>1</v>
      </c>
      <c r="X58" s="2">
        <v>1</v>
      </c>
      <c r="Y58" s="2">
        <v>0.81980879174079802</v>
      </c>
      <c r="Z58" s="2"/>
      <c r="AA58" s="2"/>
      <c r="AB58" s="2"/>
      <c r="AC58" s="2"/>
      <c r="AD58" s="2" t="s">
        <v>38</v>
      </c>
      <c r="AE58" s="2">
        <v>1</v>
      </c>
      <c r="AF58" s="2" t="s">
        <v>39</v>
      </c>
      <c r="AG58" s="2" t="s">
        <v>40</v>
      </c>
      <c r="AH58" s="2"/>
      <c r="AI58" s="2" t="s">
        <v>41</v>
      </c>
      <c r="AJ58" s="2">
        <v>59.761224027050801</v>
      </c>
      <c r="AK58" s="2" t="s">
        <v>42</v>
      </c>
    </row>
    <row r="59" spans="1:37" x14ac:dyDescent="0.2">
      <c r="A59" s="2">
        <v>56</v>
      </c>
      <c r="B59" s="2">
        <v>0.5</v>
      </c>
      <c r="C59" s="2">
        <v>2</v>
      </c>
      <c r="D59" s="2">
        <v>68.353736583376303</v>
      </c>
      <c r="E59" s="2"/>
      <c r="F59" s="2"/>
      <c r="G59" s="2"/>
      <c r="H59" s="2"/>
      <c r="I59" s="2"/>
      <c r="J59" s="2"/>
      <c r="K59" s="2"/>
      <c r="L59" s="2"/>
      <c r="M59" s="2"/>
      <c r="N59" s="2">
        <v>68.337360541685499</v>
      </c>
      <c r="O59" s="2">
        <v>68.353736583376303</v>
      </c>
      <c r="P59" s="2">
        <v>68.853890583384796</v>
      </c>
      <c r="Q59" s="2">
        <v>68.837070958339595</v>
      </c>
      <c r="R59" s="2">
        <v>68.837070958339595</v>
      </c>
      <c r="S59" s="2">
        <v>69.1371872916352</v>
      </c>
      <c r="T59" s="2">
        <v>69.320274708326906</v>
      </c>
      <c r="U59" s="2" t="s">
        <v>43</v>
      </c>
      <c r="V59" s="2">
        <v>-2</v>
      </c>
      <c r="W59" s="2">
        <v>1</v>
      </c>
      <c r="X59" s="2">
        <v>1</v>
      </c>
      <c r="Y59" s="2">
        <v>0.47748975001741201</v>
      </c>
      <c r="Z59" s="2"/>
      <c r="AA59" s="2"/>
      <c r="AB59" s="2"/>
      <c r="AC59" s="2"/>
      <c r="AD59" s="2" t="s">
        <v>38</v>
      </c>
      <c r="AE59" s="2">
        <v>1</v>
      </c>
      <c r="AF59" s="2" t="s">
        <v>39</v>
      </c>
      <c r="AG59" s="2" t="s">
        <v>40</v>
      </c>
      <c r="AH59" s="2"/>
      <c r="AI59" s="2" t="s">
        <v>41</v>
      </c>
      <c r="AJ59" s="2">
        <v>59.761224027050801</v>
      </c>
      <c r="AK59" s="2" t="s">
        <v>42</v>
      </c>
    </row>
    <row r="60" spans="1:37" x14ac:dyDescent="0.2">
      <c r="A60" s="2">
        <v>57</v>
      </c>
      <c r="B60" s="2">
        <v>0.5</v>
      </c>
      <c r="C60" s="2">
        <v>2</v>
      </c>
      <c r="D60" s="2">
        <v>69.337174291722505</v>
      </c>
      <c r="E60" s="2"/>
      <c r="F60" s="2"/>
      <c r="G60" s="2"/>
      <c r="H60" s="2"/>
      <c r="I60" s="2"/>
      <c r="J60" s="2"/>
      <c r="K60" s="2"/>
      <c r="L60" s="2"/>
      <c r="M60" s="2"/>
      <c r="N60" s="2">
        <v>69.320299666724196</v>
      </c>
      <c r="O60" s="2">
        <v>69.337174291722505</v>
      </c>
      <c r="P60" s="2">
        <v>69.837115791626303</v>
      </c>
      <c r="Q60" s="2">
        <v>69.820528500014902</v>
      </c>
      <c r="R60" s="2">
        <v>69.820528500014902</v>
      </c>
      <c r="S60" s="2">
        <v>70.120459333295003</v>
      </c>
      <c r="T60" s="2">
        <v>70.436588875018103</v>
      </c>
      <c r="U60" s="2" t="s">
        <v>43</v>
      </c>
      <c r="V60" s="2">
        <v>-2</v>
      </c>
      <c r="W60" s="2">
        <v>1</v>
      </c>
      <c r="X60" s="2">
        <v>1</v>
      </c>
      <c r="Y60" s="2">
        <v>0.59998149995226402</v>
      </c>
      <c r="Z60" s="2"/>
      <c r="AA60" s="2"/>
      <c r="AB60" s="2"/>
      <c r="AC60" s="2"/>
      <c r="AD60" s="2" t="s">
        <v>38</v>
      </c>
      <c r="AE60" s="2">
        <v>1</v>
      </c>
      <c r="AF60" s="2" t="s">
        <v>39</v>
      </c>
      <c r="AG60" s="2" t="s">
        <v>40</v>
      </c>
      <c r="AH60" s="2"/>
      <c r="AI60" s="2" t="s">
        <v>41</v>
      </c>
      <c r="AJ60" s="2">
        <v>59.761224027050801</v>
      </c>
      <c r="AK60" s="2" t="s">
        <v>42</v>
      </c>
    </row>
    <row r="61" spans="1:37" x14ac:dyDescent="0.2">
      <c r="A61" s="2">
        <v>58</v>
      </c>
      <c r="B61" s="2">
        <v>0.5</v>
      </c>
      <c r="C61" s="2">
        <v>1.5</v>
      </c>
      <c r="D61" s="2">
        <v>70.453868250013301</v>
      </c>
      <c r="E61" s="2"/>
      <c r="F61" s="2"/>
      <c r="G61" s="2"/>
      <c r="H61" s="2"/>
      <c r="I61" s="2"/>
      <c r="J61" s="2"/>
      <c r="K61" s="2"/>
      <c r="L61" s="2"/>
      <c r="M61" s="2"/>
      <c r="N61" s="2">
        <v>70.436621499946298</v>
      </c>
      <c r="O61" s="2">
        <v>70.453868250013301</v>
      </c>
      <c r="P61" s="2">
        <v>70.953800666611599</v>
      </c>
      <c r="Q61" s="2">
        <v>70.937185041722799</v>
      </c>
      <c r="R61" s="2">
        <v>70.937185041722799</v>
      </c>
      <c r="S61" s="2">
        <v>71.236468874965794</v>
      </c>
      <c r="T61" s="2">
        <v>71.637281375005799</v>
      </c>
      <c r="U61" s="2" t="s">
        <v>43</v>
      </c>
      <c r="V61" s="2">
        <v>-1.5</v>
      </c>
      <c r="W61" s="2">
        <v>1</v>
      </c>
      <c r="X61" s="2">
        <v>1</v>
      </c>
      <c r="Y61" s="2">
        <v>0.68932491668965701</v>
      </c>
      <c r="Z61" s="2"/>
      <c r="AA61" s="2"/>
      <c r="AB61" s="2"/>
      <c r="AC61" s="2"/>
      <c r="AD61" s="2" t="s">
        <v>38</v>
      </c>
      <c r="AE61" s="2">
        <v>1</v>
      </c>
      <c r="AF61" s="2" t="s">
        <v>39</v>
      </c>
      <c r="AG61" s="2" t="s">
        <v>40</v>
      </c>
      <c r="AH61" s="2"/>
      <c r="AI61" s="2" t="s">
        <v>41</v>
      </c>
      <c r="AJ61" s="2">
        <v>59.761224027050801</v>
      </c>
      <c r="AK61" s="2" t="s">
        <v>42</v>
      </c>
    </row>
    <row r="62" spans="1:37" x14ac:dyDescent="0.2">
      <c r="A62" s="2">
        <v>59</v>
      </c>
      <c r="B62" s="2">
        <v>0.5</v>
      </c>
      <c r="C62" s="2">
        <v>1.5</v>
      </c>
      <c r="D62" s="2">
        <v>71.653735958389007</v>
      </c>
      <c r="E62" s="2"/>
      <c r="F62" s="2"/>
      <c r="G62" s="2"/>
      <c r="H62" s="2"/>
      <c r="I62" s="2"/>
      <c r="J62" s="2"/>
      <c r="K62" s="2"/>
      <c r="L62" s="2"/>
      <c r="M62" s="2"/>
      <c r="N62" s="2">
        <v>71.637307041673907</v>
      </c>
      <c r="O62" s="2">
        <v>71.653735958389007</v>
      </c>
      <c r="P62" s="2">
        <v>72.153158083325295</v>
      </c>
      <c r="Q62" s="2">
        <v>72.136489416705402</v>
      </c>
      <c r="R62" s="2">
        <v>72.136489416705402</v>
      </c>
      <c r="S62" s="2">
        <v>72.437181583372904</v>
      </c>
      <c r="T62" s="2">
        <v>72.620688166702195</v>
      </c>
      <c r="U62" s="2" t="s">
        <v>43</v>
      </c>
      <c r="V62" s="2">
        <v>-1.5</v>
      </c>
      <c r="W62" s="2">
        <v>1</v>
      </c>
      <c r="X62" s="2">
        <v>1</v>
      </c>
      <c r="Y62" s="2">
        <v>0.47298516670707602</v>
      </c>
      <c r="Z62" s="2"/>
      <c r="AA62" s="2"/>
      <c r="AB62" s="2"/>
      <c r="AC62" s="2"/>
      <c r="AD62" s="2" t="s">
        <v>38</v>
      </c>
      <c r="AE62" s="2">
        <v>1</v>
      </c>
      <c r="AF62" s="2" t="s">
        <v>39</v>
      </c>
      <c r="AG62" s="2" t="s">
        <v>40</v>
      </c>
      <c r="AH62" s="2"/>
      <c r="AI62" s="2" t="s">
        <v>41</v>
      </c>
      <c r="AJ62" s="2">
        <v>59.761224027050801</v>
      </c>
      <c r="AK62" s="2" t="s">
        <v>42</v>
      </c>
    </row>
    <row r="63" spans="1:37" x14ac:dyDescent="0.2">
      <c r="A63" s="2">
        <v>60</v>
      </c>
      <c r="B63" s="2">
        <v>0.5</v>
      </c>
      <c r="C63" s="2">
        <v>1.5</v>
      </c>
      <c r="D63" s="2">
        <v>72.637206000043093</v>
      </c>
      <c r="E63" s="2"/>
      <c r="F63" s="2"/>
      <c r="G63" s="2"/>
      <c r="H63" s="2"/>
      <c r="I63" s="2"/>
      <c r="J63" s="2"/>
      <c r="K63" s="2"/>
      <c r="L63" s="2"/>
      <c r="M63" s="2"/>
      <c r="N63" s="2">
        <v>72.620726541615994</v>
      </c>
      <c r="O63" s="2">
        <v>72.637206000043093</v>
      </c>
      <c r="P63" s="2">
        <v>73.137190875015193</v>
      </c>
      <c r="Q63" s="2">
        <v>73.120545833371594</v>
      </c>
      <c r="R63" s="2">
        <v>73.120545833371594</v>
      </c>
      <c r="S63" s="2">
        <v>73.420422958326498</v>
      </c>
      <c r="T63" s="2">
        <v>73.687283666688003</v>
      </c>
      <c r="U63" s="2" t="s">
        <v>43</v>
      </c>
      <c r="V63" s="2">
        <v>-1.5</v>
      </c>
      <c r="W63" s="2">
        <v>1</v>
      </c>
      <c r="X63" s="2">
        <v>1</v>
      </c>
      <c r="Y63" s="2">
        <v>0.55190641665831197</v>
      </c>
      <c r="Z63" s="2"/>
      <c r="AA63" s="2"/>
      <c r="AB63" s="2"/>
      <c r="AC63" s="2"/>
      <c r="AD63" s="2" t="s">
        <v>38</v>
      </c>
      <c r="AE63" s="2">
        <v>1</v>
      </c>
      <c r="AF63" s="2" t="s">
        <v>39</v>
      </c>
      <c r="AG63" s="2" t="s">
        <v>40</v>
      </c>
      <c r="AH63" s="2"/>
      <c r="AI63" s="2" t="s">
        <v>41</v>
      </c>
      <c r="AJ63" s="2">
        <v>59.761224027050801</v>
      </c>
      <c r="AK63" s="2" t="s">
        <v>42</v>
      </c>
    </row>
    <row r="64" spans="1:37" x14ac:dyDescent="0.2">
      <c r="A64" s="2">
        <v>61</v>
      </c>
      <c r="B64" s="2">
        <v>0.5</v>
      </c>
      <c r="C64" s="2">
        <v>1</v>
      </c>
      <c r="D64" s="2">
        <v>73.703780083335005</v>
      </c>
      <c r="E64" s="2"/>
      <c r="F64" s="2"/>
      <c r="G64" s="2"/>
      <c r="H64" s="2"/>
      <c r="I64" s="2"/>
      <c r="J64" s="2"/>
      <c r="K64" s="2"/>
      <c r="L64" s="2"/>
      <c r="M64" s="2"/>
      <c r="N64" s="2">
        <v>73.687312666675993</v>
      </c>
      <c r="O64" s="2">
        <v>73.703780083335005</v>
      </c>
      <c r="P64" s="2">
        <v>74.203694374999003</v>
      </c>
      <c r="Q64" s="2">
        <v>74.187129583326197</v>
      </c>
      <c r="R64" s="2">
        <v>74.187129583326197</v>
      </c>
      <c r="S64" s="2">
        <v>74.487216708366802</v>
      </c>
      <c r="T64" s="2">
        <v>74.587364666629597</v>
      </c>
      <c r="U64" s="2" t="s">
        <v>44</v>
      </c>
      <c r="V64" s="2">
        <v>1</v>
      </c>
      <c r="W64" s="2">
        <v>0</v>
      </c>
      <c r="X64" s="2">
        <v>0</v>
      </c>
      <c r="Y64" s="2">
        <v>0.39231312496122001</v>
      </c>
      <c r="Z64" s="2"/>
      <c r="AA64" s="2"/>
      <c r="AB64" s="2"/>
      <c r="AC64" s="2"/>
      <c r="AD64" s="2" t="s">
        <v>38</v>
      </c>
      <c r="AE64" s="2">
        <v>1</v>
      </c>
      <c r="AF64" s="2" t="s">
        <v>39</v>
      </c>
      <c r="AG64" s="2" t="s">
        <v>40</v>
      </c>
      <c r="AH64" s="2"/>
      <c r="AI64" s="2" t="s">
        <v>41</v>
      </c>
      <c r="AJ64" s="2">
        <v>59.761224027050801</v>
      </c>
      <c r="AK64" s="2" t="s">
        <v>42</v>
      </c>
    </row>
    <row r="65" spans="1:37" x14ac:dyDescent="0.2">
      <c r="A65" s="2">
        <v>62</v>
      </c>
      <c r="B65" s="2">
        <v>0.5</v>
      </c>
      <c r="C65" s="2">
        <v>1.5</v>
      </c>
      <c r="D65" s="2">
        <v>74.603781374986298</v>
      </c>
      <c r="E65" s="2"/>
      <c r="F65" s="2"/>
      <c r="G65" s="2"/>
      <c r="H65" s="2"/>
      <c r="I65" s="2"/>
      <c r="J65" s="2"/>
      <c r="K65" s="2"/>
      <c r="L65" s="2"/>
      <c r="M65" s="2"/>
      <c r="N65" s="2">
        <v>74.587393333320506</v>
      </c>
      <c r="O65" s="2">
        <v>74.603781374986298</v>
      </c>
      <c r="P65" s="2">
        <v>75.103907875018194</v>
      </c>
      <c r="Q65" s="2">
        <v>75.087073291651905</v>
      </c>
      <c r="R65" s="2">
        <v>75.087073291651905</v>
      </c>
      <c r="S65" s="2">
        <v>75.387227416620604</v>
      </c>
      <c r="T65" s="2">
        <v>75.936812125030002</v>
      </c>
      <c r="U65" s="2" t="s">
        <v>43</v>
      </c>
      <c r="V65" s="2">
        <v>-1.5</v>
      </c>
      <c r="W65" s="2">
        <v>1</v>
      </c>
      <c r="X65" s="2">
        <v>1</v>
      </c>
      <c r="Y65" s="2">
        <v>0.84432341670617495</v>
      </c>
      <c r="Z65" s="2"/>
      <c r="AA65" s="2"/>
      <c r="AB65" s="2"/>
      <c r="AC65" s="2"/>
      <c r="AD65" s="2" t="s">
        <v>38</v>
      </c>
      <c r="AE65" s="2">
        <v>1</v>
      </c>
      <c r="AF65" s="2" t="s">
        <v>39</v>
      </c>
      <c r="AG65" s="2" t="s">
        <v>40</v>
      </c>
      <c r="AH65" s="2"/>
      <c r="AI65" s="2" t="s">
        <v>41</v>
      </c>
      <c r="AJ65" s="2">
        <v>59.761224027050801</v>
      </c>
      <c r="AK65" s="2" t="s">
        <v>42</v>
      </c>
    </row>
    <row r="66" spans="1:37" x14ac:dyDescent="0.2">
      <c r="A66" s="2">
        <v>63</v>
      </c>
      <c r="B66" s="2">
        <v>0.5</v>
      </c>
      <c r="C66" s="2">
        <v>1.5</v>
      </c>
      <c r="D66" s="2">
        <v>75.953817708301401</v>
      </c>
      <c r="E66" s="2"/>
      <c r="F66" s="2"/>
      <c r="G66" s="2"/>
      <c r="H66" s="2"/>
      <c r="I66" s="2"/>
      <c r="J66" s="2"/>
      <c r="K66" s="2"/>
      <c r="L66" s="2"/>
      <c r="M66" s="2"/>
      <c r="N66" s="2">
        <v>75.936838208348505</v>
      </c>
      <c r="O66" s="2">
        <v>75.953817708301401</v>
      </c>
      <c r="P66" s="2">
        <v>76.453763583325795</v>
      </c>
      <c r="Q66" s="2">
        <v>76.437130041653305</v>
      </c>
      <c r="R66" s="2">
        <v>76.437130041653305</v>
      </c>
      <c r="S66" s="2">
        <v>76.737061791703994</v>
      </c>
      <c r="T66" s="2">
        <v>77.220620041713104</v>
      </c>
      <c r="U66" s="2" t="s">
        <v>44</v>
      </c>
      <c r="V66" s="2">
        <v>1.5</v>
      </c>
      <c r="W66" s="2">
        <v>1</v>
      </c>
      <c r="X66" s="2">
        <v>1</v>
      </c>
      <c r="Y66" s="2">
        <v>0.77525212499313101</v>
      </c>
      <c r="Z66" s="2"/>
      <c r="AA66" s="2"/>
      <c r="AB66" s="2"/>
      <c r="AC66" s="2"/>
      <c r="AD66" s="2" t="s">
        <v>38</v>
      </c>
      <c r="AE66" s="2">
        <v>1</v>
      </c>
      <c r="AF66" s="2" t="s">
        <v>39</v>
      </c>
      <c r="AG66" s="2" t="s">
        <v>40</v>
      </c>
      <c r="AH66" s="2"/>
      <c r="AI66" s="2" t="s">
        <v>41</v>
      </c>
      <c r="AJ66" s="2">
        <v>59.761224027050801</v>
      </c>
      <c r="AK66" s="2" t="s">
        <v>42</v>
      </c>
    </row>
    <row r="67" spans="1:37" x14ac:dyDescent="0.2">
      <c r="A67" s="2">
        <v>64</v>
      </c>
      <c r="B67" s="2">
        <v>0.5</v>
      </c>
      <c r="C67" s="2">
        <v>1.5</v>
      </c>
      <c r="D67" s="2">
        <v>77.237028583302205</v>
      </c>
      <c r="E67" s="2"/>
      <c r="F67" s="2"/>
      <c r="G67" s="2"/>
      <c r="H67" s="2"/>
      <c r="I67" s="2"/>
      <c r="J67" s="2"/>
      <c r="K67" s="2"/>
      <c r="L67" s="2"/>
      <c r="M67" s="2"/>
      <c r="N67" s="2">
        <v>77.220649041701094</v>
      </c>
      <c r="O67" s="2">
        <v>77.237028583302205</v>
      </c>
      <c r="P67" s="2">
        <v>77.736997416708604</v>
      </c>
      <c r="Q67" s="2">
        <v>77.720362624968402</v>
      </c>
      <c r="R67" s="2">
        <v>77.720362624968402</v>
      </c>
      <c r="S67" s="2">
        <v>78.020545625011394</v>
      </c>
      <c r="T67" s="2">
        <v>78.320771416649194</v>
      </c>
      <c r="U67" s="2" t="s">
        <v>43</v>
      </c>
      <c r="V67" s="2">
        <v>-1.5</v>
      </c>
      <c r="W67" s="2">
        <v>1</v>
      </c>
      <c r="X67" s="2">
        <v>1</v>
      </c>
      <c r="Y67" s="2">
        <v>0.591994541697204</v>
      </c>
      <c r="Z67" s="2"/>
      <c r="AA67" s="2"/>
      <c r="AB67" s="2"/>
      <c r="AC67" s="2"/>
      <c r="AD67" s="2" t="s">
        <v>38</v>
      </c>
      <c r="AE67" s="2">
        <v>1</v>
      </c>
      <c r="AF67" s="2" t="s">
        <v>39</v>
      </c>
      <c r="AG67" s="2" t="s">
        <v>40</v>
      </c>
      <c r="AH67" s="2"/>
      <c r="AI67" s="2" t="s">
        <v>41</v>
      </c>
      <c r="AJ67" s="2">
        <v>59.761224027050801</v>
      </c>
      <c r="AK67" s="2" t="s">
        <v>42</v>
      </c>
    </row>
    <row r="68" spans="1:37" x14ac:dyDescent="0.2">
      <c r="A68" s="2">
        <v>65</v>
      </c>
      <c r="B68" s="2">
        <v>0.5</v>
      </c>
      <c r="C68" s="2">
        <v>1</v>
      </c>
      <c r="D68" s="2">
        <v>78.337248458294198</v>
      </c>
      <c r="E68" s="2"/>
      <c r="F68" s="2"/>
      <c r="G68" s="2"/>
      <c r="H68" s="2"/>
      <c r="I68" s="2"/>
      <c r="J68" s="2"/>
      <c r="K68" s="2"/>
      <c r="L68" s="2"/>
      <c r="M68" s="2"/>
      <c r="N68" s="2">
        <v>78.320798458298697</v>
      </c>
      <c r="O68" s="2">
        <v>78.337248458294198</v>
      </c>
      <c r="P68" s="2">
        <v>78.836990499985404</v>
      </c>
      <c r="Q68" s="2">
        <v>78.836990499985404</v>
      </c>
      <c r="R68" s="2">
        <v>78.836990499985404</v>
      </c>
      <c r="S68" s="2">
        <v>79.137105333386003</v>
      </c>
      <c r="T68" s="2">
        <v>79.269826750038206</v>
      </c>
      <c r="U68" s="2" t="s">
        <v>43</v>
      </c>
      <c r="V68" s="2">
        <v>-1</v>
      </c>
      <c r="W68" s="2">
        <v>1</v>
      </c>
      <c r="X68" s="2">
        <v>1</v>
      </c>
      <c r="Y68" s="2">
        <v>0.41836679168045499</v>
      </c>
      <c r="Z68" s="2"/>
      <c r="AA68" s="2"/>
      <c r="AB68" s="2"/>
      <c r="AC68" s="2"/>
      <c r="AD68" s="2" t="s">
        <v>38</v>
      </c>
      <c r="AE68" s="2">
        <v>1</v>
      </c>
      <c r="AF68" s="2" t="s">
        <v>39</v>
      </c>
      <c r="AG68" s="2" t="s">
        <v>40</v>
      </c>
      <c r="AH68" s="2"/>
      <c r="AI68" s="2" t="s">
        <v>41</v>
      </c>
      <c r="AJ68" s="2">
        <v>59.761224027050801</v>
      </c>
      <c r="AK68" s="2" t="s">
        <v>42</v>
      </c>
    </row>
    <row r="69" spans="1:37" x14ac:dyDescent="0.2">
      <c r="A69" s="2">
        <v>66</v>
      </c>
      <c r="B69" s="2">
        <v>0.5</v>
      </c>
      <c r="C69" s="2">
        <v>1</v>
      </c>
      <c r="D69" s="2">
        <v>79.287083999952301</v>
      </c>
      <c r="E69" s="2"/>
      <c r="F69" s="2"/>
      <c r="G69" s="2"/>
      <c r="H69" s="2"/>
      <c r="I69" s="2"/>
      <c r="J69" s="2"/>
      <c r="K69" s="2"/>
      <c r="L69" s="2"/>
      <c r="M69" s="2"/>
      <c r="N69" s="2">
        <v>79.269869708339698</v>
      </c>
      <c r="O69" s="2">
        <v>79.287083999952301</v>
      </c>
      <c r="P69" s="2">
        <v>79.787006124970503</v>
      </c>
      <c r="Q69" s="2">
        <v>79.770408041658797</v>
      </c>
      <c r="R69" s="2">
        <v>79.770408041658797</v>
      </c>
      <c r="S69" s="2">
        <v>80.070350208319695</v>
      </c>
      <c r="T69" s="2">
        <v>80.403852416668101</v>
      </c>
      <c r="U69" s="2" t="s">
        <v>43</v>
      </c>
      <c r="V69" s="2">
        <v>-1</v>
      </c>
      <c r="W69" s="2">
        <v>1</v>
      </c>
      <c r="X69" s="2">
        <v>1</v>
      </c>
      <c r="Y69" s="2">
        <v>0.62987583328504104</v>
      </c>
      <c r="Z69" s="2"/>
      <c r="AA69" s="2"/>
      <c r="AB69" s="2"/>
      <c r="AC69" s="2"/>
      <c r="AD69" s="2" t="s">
        <v>38</v>
      </c>
      <c r="AE69" s="2">
        <v>1</v>
      </c>
      <c r="AF69" s="2" t="s">
        <v>39</v>
      </c>
      <c r="AG69" s="2" t="s">
        <v>40</v>
      </c>
      <c r="AH69" s="2"/>
      <c r="AI69" s="2" t="s">
        <v>41</v>
      </c>
      <c r="AJ69" s="2">
        <v>59.761224027050801</v>
      </c>
      <c r="AK69" s="2" t="s">
        <v>42</v>
      </c>
    </row>
    <row r="70" spans="1:37" x14ac:dyDescent="0.2">
      <c r="A70" s="2">
        <v>67</v>
      </c>
      <c r="B70" s="2">
        <v>0.5</v>
      </c>
      <c r="C70" s="2">
        <v>1</v>
      </c>
      <c r="D70" s="2">
        <v>80.420425000018398</v>
      </c>
      <c r="E70" s="2"/>
      <c r="F70" s="2"/>
      <c r="G70" s="2"/>
      <c r="H70" s="2"/>
      <c r="I70" s="2"/>
      <c r="J70" s="2"/>
      <c r="K70" s="2"/>
      <c r="L70" s="2"/>
      <c r="M70" s="2"/>
      <c r="N70" s="2">
        <v>80.403882208280294</v>
      </c>
      <c r="O70" s="2">
        <v>80.420425000018398</v>
      </c>
      <c r="P70" s="2">
        <v>80.919815000030198</v>
      </c>
      <c r="Q70" s="2">
        <v>80.903094458277295</v>
      </c>
      <c r="R70" s="2">
        <v>80.903094458277295</v>
      </c>
      <c r="S70" s="2">
        <v>81.203743791673304</v>
      </c>
      <c r="T70" s="2">
        <v>81.553977875038996</v>
      </c>
      <c r="U70" s="2" t="s">
        <v>44</v>
      </c>
      <c r="V70" s="2">
        <v>1</v>
      </c>
      <c r="W70" s="2">
        <v>0</v>
      </c>
      <c r="X70" s="2">
        <v>0</v>
      </c>
      <c r="Y70" s="2">
        <v>0.64317983330693096</v>
      </c>
      <c r="Z70" s="2"/>
      <c r="AA70" s="2"/>
      <c r="AB70" s="2"/>
      <c r="AC70" s="2"/>
      <c r="AD70" s="2" t="s">
        <v>38</v>
      </c>
      <c r="AE70" s="2">
        <v>1</v>
      </c>
      <c r="AF70" s="2" t="s">
        <v>39</v>
      </c>
      <c r="AG70" s="2" t="s">
        <v>40</v>
      </c>
      <c r="AH70" s="2"/>
      <c r="AI70" s="2" t="s">
        <v>41</v>
      </c>
      <c r="AJ70" s="2">
        <v>59.761224027050801</v>
      </c>
      <c r="AK70" s="2" t="s">
        <v>42</v>
      </c>
    </row>
    <row r="71" spans="1:37" x14ac:dyDescent="0.2">
      <c r="A71" s="2">
        <v>68</v>
      </c>
      <c r="B71" s="2">
        <v>0.5</v>
      </c>
      <c r="C71" s="2">
        <v>1.5</v>
      </c>
      <c r="D71" s="2">
        <v>81.570597416721299</v>
      </c>
      <c r="E71" s="2"/>
      <c r="F71" s="2"/>
      <c r="G71" s="2"/>
      <c r="H71" s="2"/>
      <c r="I71" s="2"/>
      <c r="J71" s="2"/>
      <c r="K71" s="2"/>
      <c r="L71" s="2"/>
      <c r="M71" s="2"/>
      <c r="N71" s="2">
        <v>81.554020249983296</v>
      </c>
      <c r="O71" s="2">
        <v>81.570597416721299</v>
      </c>
      <c r="P71" s="2">
        <v>82.069288416649201</v>
      </c>
      <c r="Q71" s="2">
        <v>82.053257041610806</v>
      </c>
      <c r="R71" s="2">
        <v>82.053257041610806</v>
      </c>
      <c r="S71" s="2">
        <v>82.352877166704303</v>
      </c>
      <c r="T71" s="2">
        <v>82.587344083353003</v>
      </c>
      <c r="U71" s="2" t="s">
        <v>44</v>
      </c>
      <c r="V71" s="2">
        <v>1.5</v>
      </c>
      <c r="W71" s="2">
        <v>0</v>
      </c>
      <c r="X71" s="2">
        <v>0</v>
      </c>
      <c r="Y71" s="2">
        <v>0.51797870837617699</v>
      </c>
      <c r="Z71" s="2"/>
      <c r="AA71" s="2"/>
      <c r="AB71" s="2"/>
      <c r="AC71" s="2"/>
      <c r="AD71" s="2" t="s">
        <v>38</v>
      </c>
      <c r="AE71" s="2">
        <v>1</v>
      </c>
      <c r="AF71" s="2" t="s">
        <v>39</v>
      </c>
      <c r="AG71" s="2" t="s">
        <v>40</v>
      </c>
      <c r="AH71" s="2"/>
      <c r="AI71" s="2" t="s">
        <v>41</v>
      </c>
      <c r="AJ71" s="2">
        <v>59.761224027050801</v>
      </c>
      <c r="AK71" s="2" t="s">
        <v>42</v>
      </c>
    </row>
    <row r="72" spans="1:37" x14ac:dyDescent="0.2">
      <c r="A72" s="2">
        <v>69</v>
      </c>
      <c r="B72" s="2">
        <v>0.5</v>
      </c>
      <c r="C72" s="2">
        <v>2</v>
      </c>
      <c r="D72" s="2">
        <v>82.603752166614896</v>
      </c>
      <c r="E72" s="2"/>
      <c r="F72" s="2"/>
      <c r="G72" s="2"/>
      <c r="H72" s="2"/>
      <c r="I72" s="2"/>
      <c r="J72" s="2"/>
      <c r="K72" s="2"/>
      <c r="L72" s="2"/>
      <c r="M72" s="2"/>
      <c r="N72" s="2">
        <v>82.587388166692094</v>
      </c>
      <c r="O72" s="2">
        <v>82.603752166614896</v>
      </c>
      <c r="P72" s="2">
        <v>83.103817458381002</v>
      </c>
      <c r="Q72" s="2">
        <v>83.087026749970406</v>
      </c>
      <c r="R72" s="2">
        <v>83.087026749970406</v>
      </c>
      <c r="S72" s="2">
        <v>83.387018041685195</v>
      </c>
      <c r="T72" s="2">
        <v>83.903415458393297</v>
      </c>
      <c r="U72" s="2" t="s">
        <v>44</v>
      </c>
      <c r="V72" s="2">
        <v>2</v>
      </c>
      <c r="W72" s="2">
        <v>0</v>
      </c>
      <c r="X72" s="2">
        <v>0</v>
      </c>
      <c r="Y72" s="2">
        <v>0.80720108340028696</v>
      </c>
      <c r="Z72" s="2"/>
      <c r="AA72" s="2"/>
      <c r="AB72" s="2"/>
      <c r="AC72" s="2"/>
      <c r="AD72" s="2" t="s">
        <v>38</v>
      </c>
      <c r="AE72" s="2">
        <v>1</v>
      </c>
      <c r="AF72" s="2" t="s">
        <v>39</v>
      </c>
      <c r="AG72" s="2" t="s">
        <v>40</v>
      </c>
      <c r="AH72" s="2"/>
      <c r="AI72" s="2" t="s">
        <v>41</v>
      </c>
      <c r="AJ72" s="2">
        <v>59.761224027050801</v>
      </c>
      <c r="AK72" s="2" t="s">
        <v>42</v>
      </c>
    </row>
    <row r="73" spans="1:37" x14ac:dyDescent="0.2">
      <c r="A73" s="2">
        <v>70</v>
      </c>
      <c r="B73" s="2">
        <v>0.5</v>
      </c>
      <c r="C73" s="2">
        <v>2.5</v>
      </c>
      <c r="D73" s="2">
        <v>83.9203561666654</v>
      </c>
      <c r="E73" s="2"/>
      <c r="F73" s="2"/>
      <c r="G73" s="2"/>
      <c r="H73" s="2"/>
      <c r="I73" s="2"/>
      <c r="J73" s="2"/>
      <c r="K73" s="2"/>
      <c r="L73" s="2"/>
      <c r="M73" s="2"/>
      <c r="N73" s="2">
        <v>83.903444375027902</v>
      </c>
      <c r="O73" s="2">
        <v>83.9203561666654</v>
      </c>
      <c r="P73" s="2">
        <v>84.420325041632196</v>
      </c>
      <c r="Q73" s="2">
        <v>84.403683749958901</v>
      </c>
      <c r="R73" s="2">
        <v>84.403683749958901</v>
      </c>
      <c r="S73" s="2">
        <v>84.703600374981804</v>
      </c>
      <c r="T73" s="2">
        <v>85.003958374960405</v>
      </c>
      <c r="U73" s="2" t="s">
        <v>44</v>
      </c>
      <c r="V73" s="2">
        <v>2.5</v>
      </c>
      <c r="W73" s="2">
        <v>0</v>
      </c>
      <c r="X73" s="2">
        <v>0</v>
      </c>
      <c r="Y73" s="2">
        <v>0.59871004160959296</v>
      </c>
      <c r="Z73" s="2"/>
      <c r="AA73" s="2"/>
      <c r="AB73" s="2"/>
      <c r="AC73" s="2"/>
      <c r="AD73" s="2" t="s">
        <v>38</v>
      </c>
      <c r="AE73" s="2">
        <v>1</v>
      </c>
      <c r="AF73" s="2" t="s">
        <v>39</v>
      </c>
      <c r="AG73" s="2" t="s">
        <v>40</v>
      </c>
      <c r="AH73" s="2"/>
      <c r="AI73" s="2" t="s">
        <v>41</v>
      </c>
      <c r="AJ73" s="2">
        <v>59.761224027050801</v>
      </c>
      <c r="AK73" s="2" t="s">
        <v>42</v>
      </c>
    </row>
    <row r="74" spans="1:37" x14ac:dyDescent="0.2">
      <c r="A74" s="2">
        <v>71</v>
      </c>
      <c r="B74" s="2">
        <v>0.5</v>
      </c>
      <c r="C74" s="2">
        <v>3</v>
      </c>
      <c r="D74" s="2">
        <v>85.019915833370803</v>
      </c>
      <c r="E74" s="2"/>
      <c r="F74" s="2"/>
      <c r="G74" s="2"/>
      <c r="H74" s="2"/>
      <c r="I74" s="2"/>
      <c r="J74" s="2"/>
      <c r="K74" s="2"/>
      <c r="L74" s="2"/>
      <c r="M74" s="2"/>
      <c r="N74" s="2">
        <v>85.003985541639906</v>
      </c>
      <c r="O74" s="2">
        <v>85.019915833370803</v>
      </c>
      <c r="P74" s="2">
        <v>85.520550749963206</v>
      </c>
      <c r="Q74" s="2">
        <v>85.503842124948306</v>
      </c>
      <c r="R74" s="2">
        <v>85.503842124948306</v>
      </c>
      <c r="S74" s="2">
        <v>85.803807333344594</v>
      </c>
      <c r="T74" s="2">
        <v>85.954046500031794</v>
      </c>
      <c r="U74" s="2" t="s">
        <v>43</v>
      </c>
      <c r="V74" s="2">
        <v>-3</v>
      </c>
      <c r="W74" s="2">
        <v>1</v>
      </c>
      <c r="X74" s="2">
        <v>1</v>
      </c>
      <c r="Y74" s="2">
        <v>0.44845079164952001</v>
      </c>
      <c r="Z74" s="2"/>
      <c r="AA74" s="2"/>
      <c r="AB74" s="2"/>
      <c r="AC74" s="2"/>
      <c r="AD74" s="2" t="s">
        <v>38</v>
      </c>
      <c r="AE74" s="2">
        <v>1</v>
      </c>
      <c r="AF74" s="2" t="s">
        <v>39</v>
      </c>
      <c r="AG74" s="2" t="s">
        <v>40</v>
      </c>
      <c r="AH74" s="2"/>
      <c r="AI74" s="2" t="s">
        <v>41</v>
      </c>
      <c r="AJ74" s="2">
        <v>59.761224027050801</v>
      </c>
      <c r="AK74" s="2" t="s">
        <v>42</v>
      </c>
    </row>
    <row r="75" spans="1:37" x14ac:dyDescent="0.2">
      <c r="A75" s="2">
        <v>72</v>
      </c>
      <c r="B75" s="2">
        <v>0.5</v>
      </c>
      <c r="C75" s="2">
        <v>3</v>
      </c>
      <c r="D75" s="2">
        <v>85.969780708313905</v>
      </c>
      <c r="E75" s="2"/>
      <c r="F75" s="2"/>
      <c r="G75" s="2"/>
      <c r="H75" s="2"/>
      <c r="I75" s="2"/>
      <c r="J75" s="2"/>
      <c r="K75" s="2"/>
      <c r="L75" s="2"/>
      <c r="M75" s="2"/>
      <c r="N75" s="2">
        <v>85.9540823750431</v>
      </c>
      <c r="O75" s="2">
        <v>85.969780708313905</v>
      </c>
      <c r="P75" s="2">
        <v>86.470351750031099</v>
      </c>
      <c r="Q75" s="2">
        <v>86.452780249994305</v>
      </c>
      <c r="R75" s="2">
        <v>86.452780249994305</v>
      </c>
      <c r="S75" s="2">
        <v>86.753820583340698</v>
      </c>
      <c r="T75" s="2">
        <v>86.937215749989306</v>
      </c>
      <c r="U75" s="2" t="s">
        <v>44</v>
      </c>
      <c r="V75" s="2">
        <v>3</v>
      </c>
      <c r="W75" s="2">
        <v>0</v>
      </c>
      <c r="X75" s="2">
        <v>0</v>
      </c>
      <c r="Y75" s="2">
        <v>0.46938479156233398</v>
      </c>
      <c r="Z75" s="2"/>
      <c r="AA75" s="2"/>
      <c r="AB75" s="2"/>
      <c r="AC75" s="2"/>
      <c r="AD75" s="2" t="s">
        <v>38</v>
      </c>
      <c r="AE75" s="2">
        <v>1</v>
      </c>
      <c r="AF75" s="2" t="s">
        <v>39</v>
      </c>
      <c r="AG75" s="2" t="s">
        <v>40</v>
      </c>
      <c r="AH75" s="2"/>
      <c r="AI75" s="2" t="s">
        <v>41</v>
      </c>
      <c r="AJ75" s="2">
        <v>59.761224027050801</v>
      </c>
      <c r="AK75" s="2" t="s">
        <v>42</v>
      </c>
    </row>
    <row r="76" spans="1:37" x14ac:dyDescent="0.2">
      <c r="A76" s="2">
        <v>73</v>
      </c>
      <c r="B76" s="2">
        <v>0.5</v>
      </c>
      <c r="C76" s="2">
        <v>3.5</v>
      </c>
      <c r="D76" s="2">
        <v>86.953673125011903</v>
      </c>
      <c r="E76" s="2"/>
      <c r="F76" s="2"/>
      <c r="G76" s="2"/>
      <c r="H76" s="2"/>
      <c r="I76" s="2"/>
      <c r="J76" s="2"/>
      <c r="K76" s="2"/>
      <c r="L76" s="2"/>
      <c r="M76" s="2"/>
      <c r="N76" s="2">
        <v>86.937245416687801</v>
      </c>
      <c r="O76" s="2">
        <v>86.953673125011903</v>
      </c>
      <c r="P76" s="2">
        <v>87.453799249953605</v>
      </c>
      <c r="Q76" s="2">
        <v>87.437017833348406</v>
      </c>
      <c r="R76" s="2">
        <v>87.437017833348406</v>
      </c>
      <c r="S76" s="2">
        <v>87.737107166671194</v>
      </c>
      <c r="T76" s="2">
        <v>88.0539068332873</v>
      </c>
      <c r="U76" s="2" t="s">
        <v>44</v>
      </c>
      <c r="V76" s="2">
        <v>3.5</v>
      </c>
      <c r="W76" s="2">
        <v>0</v>
      </c>
      <c r="X76" s="2">
        <v>0</v>
      </c>
      <c r="Y76" s="2">
        <v>0.608117333380505</v>
      </c>
      <c r="Z76" s="2"/>
      <c r="AA76" s="2"/>
      <c r="AB76" s="2"/>
      <c r="AC76" s="2"/>
      <c r="AD76" s="2" t="s">
        <v>38</v>
      </c>
      <c r="AE76" s="2">
        <v>1</v>
      </c>
      <c r="AF76" s="2" t="s">
        <v>39</v>
      </c>
      <c r="AG76" s="2" t="s">
        <v>40</v>
      </c>
      <c r="AH76" s="2"/>
      <c r="AI76" s="2" t="s">
        <v>41</v>
      </c>
      <c r="AJ76" s="2">
        <v>59.761224027050801</v>
      </c>
      <c r="AK76" s="2" t="s">
        <v>42</v>
      </c>
    </row>
    <row r="77" spans="1:37" x14ac:dyDescent="0.2">
      <c r="A77" s="2">
        <v>74</v>
      </c>
      <c r="B77" s="2">
        <v>0.5</v>
      </c>
      <c r="C77" s="2">
        <v>4</v>
      </c>
      <c r="D77" s="2">
        <v>88.070302875013994</v>
      </c>
      <c r="E77" s="2"/>
      <c r="F77" s="2"/>
      <c r="G77" s="2"/>
      <c r="H77" s="2"/>
      <c r="I77" s="2"/>
      <c r="J77" s="2"/>
      <c r="K77" s="2"/>
      <c r="L77" s="2"/>
      <c r="M77" s="2"/>
      <c r="N77" s="2">
        <v>88.053930583293607</v>
      </c>
      <c r="O77" s="2">
        <v>88.070302875013994</v>
      </c>
      <c r="P77" s="2">
        <v>88.570467916666502</v>
      </c>
      <c r="Q77" s="2">
        <v>88.553568833391196</v>
      </c>
      <c r="R77" s="2">
        <v>88.553568833391196</v>
      </c>
      <c r="S77" s="2">
        <v>88.8537256666459</v>
      </c>
      <c r="T77" s="2">
        <v>89.003983541624606</v>
      </c>
      <c r="U77" s="2" t="s">
        <v>43</v>
      </c>
      <c r="V77" s="2">
        <v>-4</v>
      </c>
      <c r="W77" s="2">
        <v>1</v>
      </c>
      <c r="X77" s="2">
        <v>1</v>
      </c>
      <c r="Y77" s="2">
        <v>0.43652554170694202</v>
      </c>
      <c r="Z77" s="2"/>
      <c r="AA77" s="2"/>
      <c r="AB77" s="2"/>
      <c r="AC77" s="2"/>
      <c r="AD77" s="2" t="s">
        <v>38</v>
      </c>
      <c r="AE77" s="2">
        <v>1</v>
      </c>
      <c r="AF77" s="2" t="s">
        <v>39</v>
      </c>
      <c r="AG77" s="2" t="s">
        <v>40</v>
      </c>
      <c r="AH77" s="2"/>
      <c r="AI77" s="2" t="s">
        <v>41</v>
      </c>
      <c r="AJ77" s="2">
        <v>59.761224027050801</v>
      </c>
      <c r="AK77" s="2" t="s">
        <v>42</v>
      </c>
    </row>
    <row r="78" spans="1:37" x14ac:dyDescent="0.2">
      <c r="A78" s="2">
        <v>75</v>
      </c>
      <c r="B78" s="2">
        <v>0.5</v>
      </c>
      <c r="C78" s="2">
        <v>4</v>
      </c>
      <c r="D78" s="2">
        <v>89.020523583283705</v>
      </c>
      <c r="E78" s="2"/>
      <c r="F78" s="2"/>
      <c r="G78" s="2"/>
      <c r="H78" s="2"/>
      <c r="I78" s="2"/>
      <c r="J78" s="2"/>
      <c r="K78" s="2"/>
      <c r="L78" s="2"/>
      <c r="M78" s="2"/>
      <c r="N78" s="2">
        <v>89.004003625013894</v>
      </c>
      <c r="O78" s="2">
        <v>89.020523583283705</v>
      </c>
      <c r="P78" s="2">
        <v>89.520462791668294</v>
      </c>
      <c r="Q78" s="2">
        <v>89.503864499973105</v>
      </c>
      <c r="R78" s="2">
        <v>89.503864499973105</v>
      </c>
      <c r="S78" s="2">
        <v>89.803809416713193</v>
      </c>
      <c r="T78" s="2">
        <v>89.987279208377004</v>
      </c>
      <c r="U78" s="2" t="s">
        <v>43</v>
      </c>
      <c r="V78" s="2">
        <v>-4</v>
      </c>
      <c r="W78" s="2">
        <v>1</v>
      </c>
      <c r="X78" s="2">
        <v>1</v>
      </c>
      <c r="Y78" s="2">
        <v>0.4813999166945</v>
      </c>
      <c r="Z78" s="2"/>
      <c r="AA78" s="2"/>
      <c r="AB78" s="2"/>
      <c r="AC78" s="2"/>
      <c r="AD78" s="2" t="s">
        <v>38</v>
      </c>
      <c r="AE78" s="2">
        <v>1</v>
      </c>
      <c r="AF78" s="2" t="s">
        <v>39</v>
      </c>
      <c r="AG78" s="2" t="s">
        <v>40</v>
      </c>
      <c r="AH78" s="2"/>
      <c r="AI78" s="2" t="s">
        <v>41</v>
      </c>
      <c r="AJ78" s="2">
        <v>59.761224027050801</v>
      </c>
      <c r="AK78" s="2" t="s">
        <v>42</v>
      </c>
    </row>
    <row r="79" spans="1:37" x14ac:dyDescent="0.2">
      <c r="A79" s="2">
        <v>76</v>
      </c>
      <c r="B79" s="2">
        <v>0.5</v>
      </c>
      <c r="C79" s="2">
        <v>4</v>
      </c>
      <c r="D79" s="2">
        <v>90.003184458357296</v>
      </c>
      <c r="E79" s="2"/>
      <c r="F79" s="2"/>
      <c r="G79" s="2"/>
      <c r="H79" s="2"/>
      <c r="I79" s="2"/>
      <c r="J79" s="2"/>
      <c r="K79" s="2"/>
      <c r="L79" s="2"/>
      <c r="M79" s="2"/>
      <c r="N79" s="2">
        <v>89.987304458278203</v>
      </c>
      <c r="O79" s="2">
        <v>90.003184458357296</v>
      </c>
      <c r="P79" s="2">
        <v>90.503731916658595</v>
      </c>
      <c r="Q79" s="2">
        <v>90.487113749957601</v>
      </c>
      <c r="R79" s="2">
        <v>90.487113749957601</v>
      </c>
      <c r="S79" s="2">
        <v>90.787053750013001</v>
      </c>
      <c r="T79" s="2">
        <v>90.887137166690096</v>
      </c>
      <c r="U79" s="2" t="s">
        <v>43</v>
      </c>
      <c r="V79" s="2">
        <v>-4</v>
      </c>
      <c r="W79" s="2">
        <v>1</v>
      </c>
      <c r="X79" s="2">
        <v>1</v>
      </c>
      <c r="Y79" s="2">
        <v>0.39293370838276998</v>
      </c>
      <c r="Z79" s="2"/>
      <c r="AA79" s="2"/>
      <c r="AB79" s="2"/>
      <c r="AC79" s="2"/>
      <c r="AD79" s="2" t="s">
        <v>38</v>
      </c>
      <c r="AE79" s="2">
        <v>1</v>
      </c>
      <c r="AF79" s="2" t="s">
        <v>39</v>
      </c>
      <c r="AG79" s="2" t="s">
        <v>40</v>
      </c>
      <c r="AH79" s="2"/>
      <c r="AI79" s="2" t="s">
        <v>41</v>
      </c>
      <c r="AJ79" s="2">
        <v>59.761224027050801</v>
      </c>
      <c r="AK79" s="2" t="s">
        <v>42</v>
      </c>
    </row>
    <row r="80" spans="1:37" x14ac:dyDescent="0.2">
      <c r="A80" s="2">
        <v>77</v>
      </c>
      <c r="B80" s="2">
        <v>0.5</v>
      </c>
      <c r="C80" s="2">
        <v>3.5</v>
      </c>
      <c r="D80" s="2">
        <v>90.903763083391794</v>
      </c>
      <c r="E80" s="2"/>
      <c r="F80" s="2"/>
      <c r="G80" s="2"/>
      <c r="H80" s="2"/>
      <c r="I80" s="2"/>
      <c r="J80" s="2"/>
      <c r="K80" s="2"/>
      <c r="L80" s="2"/>
      <c r="M80" s="2"/>
      <c r="N80" s="2">
        <v>90.887159666628605</v>
      </c>
      <c r="O80" s="2">
        <v>90.903763083391794</v>
      </c>
      <c r="P80" s="2">
        <v>91.4037172083044</v>
      </c>
      <c r="Q80" s="2">
        <v>91.387082749977694</v>
      </c>
      <c r="R80" s="2">
        <v>91.387082749977694</v>
      </c>
      <c r="S80" s="2">
        <v>91.687038291711403</v>
      </c>
      <c r="T80" s="2">
        <v>91.770506041706497</v>
      </c>
      <c r="U80" s="2" t="s">
        <v>44</v>
      </c>
      <c r="V80" s="2">
        <v>3.5</v>
      </c>
      <c r="W80" s="2">
        <v>0</v>
      </c>
      <c r="X80" s="2">
        <v>0</v>
      </c>
      <c r="Y80" s="2">
        <v>0.38210725004319102</v>
      </c>
      <c r="Z80" s="2"/>
      <c r="AA80" s="2"/>
      <c r="AB80" s="2"/>
      <c r="AC80" s="2"/>
      <c r="AD80" s="2" t="s">
        <v>38</v>
      </c>
      <c r="AE80" s="2">
        <v>1</v>
      </c>
      <c r="AF80" s="2" t="s">
        <v>39</v>
      </c>
      <c r="AG80" s="2" t="s">
        <v>40</v>
      </c>
      <c r="AH80" s="2"/>
      <c r="AI80" s="2" t="s">
        <v>41</v>
      </c>
      <c r="AJ80" s="2">
        <v>59.761224027050801</v>
      </c>
      <c r="AK80" s="2" t="s">
        <v>42</v>
      </c>
    </row>
    <row r="81" spans="1:37" x14ac:dyDescent="0.2">
      <c r="A81" s="2">
        <v>78</v>
      </c>
      <c r="B81" s="2">
        <v>0.5</v>
      </c>
      <c r="C81" s="2">
        <v>4</v>
      </c>
      <c r="D81" s="2">
        <v>91.786309666698799</v>
      </c>
      <c r="E81" s="2"/>
      <c r="F81" s="2"/>
      <c r="G81" s="2"/>
      <c r="H81" s="2"/>
      <c r="I81" s="2"/>
      <c r="J81" s="2"/>
      <c r="K81" s="2"/>
      <c r="L81" s="2"/>
      <c r="M81" s="2"/>
      <c r="N81" s="2">
        <v>91.770527541637406</v>
      </c>
      <c r="O81" s="2">
        <v>91.786309666698799</v>
      </c>
      <c r="P81" s="2">
        <v>92.286496249958901</v>
      </c>
      <c r="Q81" s="2">
        <v>92.270498999976596</v>
      </c>
      <c r="R81" s="2">
        <v>92.270498999976596</v>
      </c>
      <c r="S81" s="2">
        <v>92.570459499955206</v>
      </c>
      <c r="T81" s="2">
        <v>93.003070458304094</v>
      </c>
      <c r="U81" s="2" t="s">
        <v>43</v>
      </c>
      <c r="V81" s="2">
        <v>-4</v>
      </c>
      <c r="W81" s="2">
        <v>1</v>
      </c>
      <c r="X81" s="2">
        <v>1</v>
      </c>
      <c r="Y81" s="2">
        <v>0.72751404170412604</v>
      </c>
      <c r="Z81" s="2"/>
      <c r="AA81" s="2"/>
      <c r="AB81" s="2"/>
      <c r="AC81" s="2"/>
      <c r="AD81" s="2" t="s">
        <v>38</v>
      </c>
      <c r="AE81" s="2">
        <v>1</v>
      </c>
      <c r="AF81" s="2" t="s">
        <v>39</v>
      </c>
      <c r="AG81" s="2" t="s">
        <v>40</v>
      </c>
      <c r="AH81" s="2"/>
      <c r="AI81" s="2" t="s">
        <v>41</v>
      </c>
      <c r="AJ81" s="2">
        <v>59.761224027050801</v>
      </c>
      <c r="AK81" s="2" t="s">
        <v>42</v>
      </c>
    </row>
    <row r="82" spans="1:37" x14ac:dyDescent="0.2">
      <c r="A82" s="2">
        <v>79</v>
      </c>
      <c r="B82" s="2">
        <v>0.5</v>
      </c>
      <c r="C82" s="2">
        <v>4</v>
      </c>
      <c r="D82" s="2">
        <v>93.020483708358398</v>
      </c>
      <c r="E82" s="2"/>
      <c r="F82" s="2"/>
      <c r="G82" s="2"/>
      <c r="H82" s="2"/>
      <c r="I82" s="2"/>
      <c r="J82" s="2"/>
      <c r="K82" s="2"/>
      <c r="L82" s="2"/>
      <c r="M82" s="2"/>
      <c r="N82" s="2">
        <v>93.003118416643701</v>
      </c>
      <c r="O82" s="2">
        <v>93.020483708358398</v>
      </c>
      <c r="P82" s="2">
        <v>93.520426291623195</v>
      </c>
      <c r="Q82" s="2">
        <v>93.503657291643293</v>
      </c>
      <c r="R82" s="2">
        <v>93.503657291643293</v>
      </c>
      <c r="S82" s="2">
        <v>93.803732875036104</v>
      </c>
      <c r="T82" s="2">
        <v>94.187184458365707</v>
      </c>
      <c r="U82" s="2" t="s">
        <v>44</v>
      </c>
      <c r="V82" s="2">
        <v>4</v>
      </c>
      <c r="W82" s="2">
        <v>1</v>
      </c>
      <c r="X82" s="2">
        <v>1</v>
      </c>
      <c r="Y82" s="2">
        <v>0.67033320839982502</v>
      </c>
      <c r="Z82" s="2"/>
      <c r="AA82" s="2"/>
      <c r="AB82" s="2"/>
      <c r="AC82" s="2"/>
      <c r="AD82" s="2" t="s">
        <v>38</v>
      </c>
      <c r="AE82" s="2">
        <v>1</v>
      </c>
      <c r="AF82" s="2" t="s">
        <v>39</v>
      </c>
      <c r="AG82" s="2" t="s">
        <v>40</v>
      </c>
      <c r="AH82" s="2"/>
      <c r="AI82" s="2" t="s">
        <v>41</v>
      </c>
      <c r="AJ82" s="2">
        <v>59.761224027050801</v>
      </c>
      <c r="AK82" s="2" t="s">
        <v>42</v>
      </c>
    </row>
    <row r="83" spans="1:37" x14ac:dyDescent="0.2">
      <c r="A83" s="2">
        <v>80</v>
      </c>
      <c r="B83" s="2">
        <v>0.5</v>
      </c>
      <c r="C83" s="2">
        <v>4</v>
      </c>
      <c r="D83" s="2">
        <v>94.203777833376094</v>
      </c>
      <c r="E83" s="2"/>
      <c r="F83" s="2"/>
      <c r="G83" s="2"/>
      <c r="H83" s="2"/>
      <c r="I83" s="2"/>
      <c r="J83" s="2"/>
      <c r="K83" s="2"/>
      <c r="L83" s="2"/>
      <c r="M83" s="2"/>
      <c r="N83" s="2">
        <v>94.187215124955401</v>
      </c>
      <c r="O83" s="2">
        <v>94.203777833376094</v>
      </c>
      <c r="P83" s="2">
        <v>94.703693791641797</v>
      </c>
      <c r="Q83" s="2">
        <v>94.687070499989204</v>
      </c>
      <c r="R83" s="2">
        <v>94.687070499989204</v>
      </c>
      <c r="S83" s="2">
        <v>94.987077499972699</v>
      </c>
      <c r="T83" s="2">
        <v>95.286167916725404</v>
      </c>
      <c r="U83" s="2" t="s">
        <v>44</v>
      </c>
      <c r="V83" s="2">
        <v>4</v>
      </c>
      <c r="W83" s="2">
        <v>1</v>
      </c>
      <c r="X83" s="2">
        <v>1</v>
      </c>
      <c r="Y83" s="2">
        <v>0.59586962498724505</v>
      </c>
      <c r="Z83" s="2"/>
      <c r="AA83" s="2"/>
      <c r="AB83" s="2"/>
      <c r="AC83" s="2"/>
      <c r="AD83" s="2" t="s">
        <v>38</v>
      </c>
      <c r="AE83" s="2">
        <v>1</v>
      </c>
      <c r="AF83" s="2" t="s">
        <v>39</v>
      </c>
      <c r="AG83" s="2" t="s">
        <v>40</v>
      </c>
      <c r="AH83" s="2"/>
      <c r="AI83" s="2" t="s">
        <v>41</v>
      </c>
      <c r="AJ83" s="2">
        <v>59.761224027050801</v>
      </c>
      <c r="AK83" s="2" t="s">
        <v>42</v>
      </c>
    </row>
    <row r="84" spans="1:37" x14ac:dyDescent="0.2">
      <c r="A84" s="2">
        <v>81</v>
      </c>
      <c r="B84" s="2">
        <v>0.5</v>
      </c>
      <c r="C84" s="2">
        <v>3.5</v>
      </c>
      <c r="D84" s="2">
        <v>95.302787583321305</v>
      </c>
      <c r="E84" s="2"/>
      <c r="F84" s="2"/>
      <c r="G84" s="2"/>
      <c r="H84" s="2"/>
      <c r="I84" s="2"/>
      <c r="J84" s="2"/>
      <c r="K84" s="2"/>
      <c r="L84" s="2"/>
      <c r="M84" s="2"/>
      <c r="N84" s="2">
        <v>95.2861964167096</v>
      </c>
      <c r="O84" s="2">
        <v>95.302787583321305</v>
      </c>
      <c r="P84" s="2">
        <v>95.803787958342596</v>
      </c>
      <c r="Q84" s="2">
        <v>95.787158541614204</v>
      </c>
      <c r="R84" s="2">
        <v>95.787158541614204</v>
      </c>
      <c r="S84" s="2">
        <v>96.087247291696301</v>
      </c>
      <c r="T84" s="2">
        <v>96.387173875002205</v>
      </c>
      <c r="U84" s="2" t="s">
        <v>43</v>
      </c>
      <c r="V84" s="2">
        <v>-3.5</v>
      </c>
      <c r="W84" s="2">
        <v>1</v>
      </c>
      <c r="X84" s="2">
        <v>1</v>
      </c>
      <c r="Y84" s="2">
        <v>0.59516550006810598</v>
      </c>
      <c r="Z84" s="2"/>
      <c r="AA84" s="2"/>
      <c r="AB84" s="2"/>
      <c r="AC84" s="2"/>
      <c r="AD84" s="2" t="s">
        <v>38</v>
      </c>
      <c r="AE84" s="2">
        <v>1</v>
      </c>
      <c r="AF84" s="2" t="s">
        <v>39</v>
      </c>
      <c r="AG84" s="2" t="s">
        <v>40</v>
      </c>
      <c r="AH84" s="2"/>
      <c r="AI84" s="2" t="s">
        <v>41</v>
      </c>
      <c r="AJ84" s="2">
        <v>59.761224027050801</v>
      </c>
      <c r="AK84" s="2" t="s">
        <v>42</v>
      </c>
    </row>
    <row r="85" spans="1:37" x14ac:dyDescent="0.2">
      <c r="A85" s="2">
        <v>82</v>
      </c>
      <c r="B85" s="2">
        <v>0.5</v>
      </c>
      <c r="C85" s="2">
        <v>3.5</v>
      </c>
      <c r="D85" s="2">
        <v>96.403815333382198</v>
      </c>
      <c r="E85" s="2"/>
      <c r="F85" s="2"/>
      <c r="G85" s="2"/>
      <c r="H85" s="2"/>
      <c r="I85" s="2"/>
      <c r="J85" s="2"/>
      <c r="K85" s="2"/>
      <c r="L85" s="2"/>
      <c r="M85" s="2"/>
      <c r="N85" s="2">
        <v>96.387205416685902</v>
      </c>
      <c r="O85" s="2">
        <v>96.403815333382198</v>
      </c>
      <c r="P85" s="2">
        <v>96.903735458385199</v>
      </c>
      <c r="Q85" s="2">
        <v>96.887096916674594</v>
      </c>
      <c r="R85" s="2">
        <v>96.887096916674594</v>
      </c>
      <c r="S85" s="2">
        <v>97.187061958364197</v>
      </c>
      <c r="T85" s="2">
        <v>97.420147708384306</v>
      </c>
      <c r="U85" s="2" t="s">
        <v>44</v>
      </c>
      <c r="V85" s="2">
        <v>3.5</v>
      </c>
      <c r="W85" s="2">
        <v>1</v>
      </c>
      <c r="X85" s="2">
        <v>1</v>
      </c>
      <c r="Y85" s="2">
        <v>0.51982270833104904</v>
      </c>
      <c r="Z85" s="2"/>
      <c r="AA85" s="2"/>
      <c r="AB85" s="2"/>
      <c r="AC85" s="2"/>
      <c r="AD85" s="2" t="s">
        <v>38</v>
      </c>
      <c r="AE85" s="2">
        <v>1</v>
      </c>
      <c r="AF85" s="2" t="s">
        <v>39</v>
      </c>
      <c r="AG85" s="2" t="s">
        <v>40</v>
      </c>
      <c r="AH85" s="2"/>
      <c r="AI85" s="2" t="s">
        <v>41</v>
      </c>
      <c r="AJ85" s="2">
        <v>59.761224027050801</v>
      </c>
      <c r="AK85" s="2" t="s">
        <v>42</v>
      </c>
    </row>
    <row r="86" spans="1:37" x14ac:dyDescent="0.2">
      <c r="A86" s="2">
        <v>83</v>
      </c>
      <c r="B86" s="2">
        <v>0.5</v>
      </c>
      <c r="C86" s="2">
        <v>3.5</v>
      </c>
      <c r="D86" s="2">
        <v>97.437124166637702</v>
      </c>
      <c r="E86" s="2"/>
      <c r="F86" s="2"/>
      <c r="G86" s="2"/>
      <c r="H86" s="2"/>
      <c r="I86" s="2"/>
      <c r="J86" s="2"/>
      <c r="K86" s="2"/>
      <c r="L86" s="2"/>
      <c r="M86" s="2"/>
      <c r="N86" s="2">
        <v>97.4201763332821</v>
      </c>
      <c r="O86" s="2">
        <v>97.437124166637702</v>
      </c>
      <c r="P86" s="2">
        <v>97.937074749963401</v>
      </c>
      <c r="Q86" s="2">
        <v>97.920481499982998</v>
      </c>
      <c r="R86" s="2">
        <v>97.920481499982998</v>
      </c>
      <c r="S86" s="2">
        <v>98.220348875038297</v>
      </c>
      <c r="T86" s="2">
        <v>98.353859374998095</v>
      </c>
      <c r="U86" s="2" t="s">
        <v>43</v>
      </c>
      <c r="V86" s="2">
        <v>-3.5</v>
      </c>
      <c r="W86" s="2">
        <v>1</v>
      </c>
      <c r="X86" s="2">
        <v>1</v>
      </c>
      <c r="Y86" s="2">
        <v>0.42939283337909701</v>
      </c>
      <c r="Z86" s="2"/>
      <c r="AA86" s="2"/>
      <c r="AB86" s="2"/>
      <c r="AC86" s="2"/>
      <c r="AD86" s="2" t="s">
        <v>38</v>
      </c>
      <c r="AE86" s="2">
        <v>1</v>
      </c>
      <c r="AF86" s="2" t="s">
        <v>39</v>
      </c>
      <c r="AG86" s="2" t="s">
        <v>40</v>
      </c>
      <c r="AH86" s="2"/>
      <c r="AI86" s="2" t="s">
        <v>41</v>
      </c>
      <c r="AJ86" s="2">
        <v>59.761224027050801</v>
      </c>
      <c r="AK86" s="2" t="s">
        <v>42</v>
      </c>
    </row>
    <row r="87" spans="1:37" x14ac:dyDescent="0.2">
      <c r="A87" s="2">
        <v>84</v>
      </c>
      <c r="B87" s="2">
        <v>0.5</v>
      </c>
      <c r="C87" s="2">
        <v>3</v>
      </c>
      <c r="D87" s="2">
        <v>98.370332791702793</v>
      </c>
      <c r="E87" s="2"/>
      <c r="F87" s="2"/>
      <c r="G87" s="2"/>
      <c r="H87" s="2"/>
      <c r="I87" s="2"/>
      <c r="J87" s="2"/>
      <c r="K87" s="2"/>
      <c r="L87" s="2"/>
      <c r="M87" s="2"/>
      <c r="N87" s="2">
        <v>98.353884083335302</v>
      </c>
      <c r="O87" s="2">
        <v>98.370332791702793</v>
      </c>
      <c r="P87" s="2">
        <v>98.869776708306702</v>
      </c>
      <c r="Q87" s="2">
        <v>98.853675583377495</v>
      </c>
      <c r="R87" s="2">
        <v>98.853675583377495</v>
      </c>
      <c r="S87" s="2">
        <v>99.153210708289393</v>
      </c>
      <c r="T87" s="2">
        <v>99.320589083363302</v>
      </c>
      <c r="U87" s="2" t="s">
        <v>44</v>
      </c>
      <c r="V87" s="2">
        <v>3</v>
      </c>
      <c r="W87" s="2">
        <v>1</v>
      </c>
      <c r="X87" s="2">
        <v>1</v>
      </c>
      <c r="Y87" s="2">
        <v>0.457183875027113</v>
      </c>
      <c r="Z87" s="2"/>
      <c r="AA87" s="2"/>
      <c r="AB87" s="2"/>
      <c r="AC87" s="2"/>
      <c r="AD87" s="2" t="s">
        <v>38</v>
      </c>
      <c r="AE87" s="2">
        <v>1</v>
      </c>
      <c r="AF87" s="2" t="s">
        <v>39</v>
      </c>
      <c r="AG87" s="2" t="s">
        <v>40</v>
      </c>
      <c r="AH87" s="2"/>
      <c r="AI87" s="2" t="s">
        <v>41</v>
      </c>
      <c r="AJ87" s="2">
        <v>59.761224027050801</v>
      </c>
      <c r="AK87" s="2" t="s">
        <v>42</v>
      </c>
    </row>
    <row r="88" spans="1:37" x14ac:dyDescent="0.2">
      <c r="A88" s="2">
        <v>85</v>
      </c>
      <c r="B88" s="2">
        <v>0.5</v>
      </c>
      <c r="C88" s="2">
        <v>3</v>
      </c>
      <c r="D88" s="2">
        <v>99.337154583306997</v>
      </c>
      <c r="E88" s="2"/>
      <c r="F88" s="2"/>
      <c r="G88" s="2"/>
      <c r="H88" s="2"/>
      <c r="I88" s="2"/>
      <c r="J88" s="2"/>
      <c r="K88" s="2"/>
      <c r="L88" s="2"/>
      <c r="M88" s="2"/>
      <c r="N88" s="2">
        <v>99.320612333365702</v>
      </c>
      <c r="O88" s="2">
        <v>99.337154583306997</v>
      </c>
      <c r="P88" s="2">
        <v>99.837121916702003</v>
      </c>
      <c r="Q88" s="2">
        <v>99.820373333292096</v>
      </c>
      <c r="R88" s="2">
        <v>99.820373333292096</v>
      </c>
      <c r="S88" s="2">
        <v>100.12043966667299</v>
      </c>
      <c r="T88" s="2">
        <v>100.287253624992</v>
      </c>
      <c r="U88" s="2" t="s">
        <v>44</v>
      </c>
      <c r="V88" s="2">
        <v>3</v>
      </c>
      <c r="W88" s="2">
        <v>0</v>
      </c>
      <c r="X88" s="2">
        <v>0</v>
      </c>
      <c r="Y88" s="2">
        <v>0.46047316666226801</v>
      </c>
      <c r="Z88" s="2"/>
      <c r="AA88" s="2"/>
      <c r="AB88" s="2"/>
      <c r="AC88" s="2"/>
      <c r="AD88" s="2" t="s">
        <v>38</v>
      </c>
      <c r="AE88" s="2">
        <v>1</v>
      </c>
      <c r="AF88" s="2" t="s">
        <v>39</v>
      </c>
      <c r="AG88" s="2" t="s">
        <v>40</v>
      </c>
      <c r="AH88" s="2"/>
      <c r="AI88" s="2" t="s">
        <v>41</v>
      </c>
      <c r="AJ88" s="2">
        <v>59.761224027050801</v>
      </c>
      <c r="AK88" s="2" t="s">
        <v>42</v>
      </c>
    </row>
    <row r="89" spans="1:37" x14ac:dyDescent="0.2">
      <c r="A89" s="2">
        <v>86</v>
      </c>
      <c r="B89" s="2">
        <v>0.5</v>
      </c>
      <c r="C89" s="2">
        <v>3.5</v>
      </c>
      <c r="D89" s="2">
        <v>100.30369037494501</v>
      </c>
      <c r="E89" s="2"/>
      <c r="F89" s="2"/>
      <c r="G89" s="2"/>
      <c r="H89" s="2"/>
      <c r="I89" s="2"/>
      <c r="J89" s="2"/>
      <c r="K89" s="2"/>
      <c r="L89" s="2"/>
      <c r="M89" s="2"/>
      <c r="N89" s="2">
        <v>100.287276125047</v>
      </c>
      <c r="O89" s="2">
        <v>100.30369037494501</v>
      </c>
      <c r="P89" s="2">
        <v>100.80322791670901</v>
      </c>
      <c r="Q89" s="2">
        <v>100.786970291636</v>
      </c>
      <c r="R89" s="2">
        <v>100.786970291636</v>
      </c>
      <c r="S89" s="2">
        <v>101.08668745833</v>
      </c>
      <c r="T89" s="2">
        <v>101.08685916662201</v>
      </c>
      <c r="U89" s="2" t="s">
        <v>43</v>
      </c>
      <c r="V89" s="2">
        <v>-3.5</v>
      </c>
      <c r="W89" s="2">
        <v>0</v>
      </c>
      <c r="X89" s="2">
        <v>0</v>
      </c>
      <c r="Y89" s="2">
        <v>0.29387591674458202</v>
      </c>
      <c r="Z89" s="2"/>
      <c r="AA89" s="2"/>
      <c r="AB89" s="2"/>
      <c r="AC89" s="2"/>
      <c r="AD89" s="2" t="s">
        <v>38</v>
      </c>
      <c r="AE89" s="2">
        <v>1</v>
      </c>
      <c r="AF89" s="2" t="s">
        <v>39</v>
      </c>
      <c r="AG89" s="2" t="s">
        <v>40</v>
      </c>
      <c r="AH89" s="2"/>
      <c r="AI89" s="2" t="s">
        <v>41</v>
      </c>
      <c r="AJ89" s="2">
        <v>59.761224027050801</v>
      </c>
      <c r="AK89" s="2" t="s">
        <v>42</v>
      </c>
    </row>
    <row r="90" spans="1:37" x14ac:dyDescent="0.2">
      <c r="A90" s="2">
        <v>87</v>
      </c>
      <c r="B90" s="2">
        <v>0.5</v>
      </c>
      <c r="C90" s="2">
        <v>4</v>
      </c>
      <c r="D90" s="2">
        <v>101.103751749964</v>
      </c>
      <c r="E90" s="2"/>
      <c r="F90" s="2"/>
      <c r="G90" s="2"/>
      <c r="H90" s="2"/>
      <c r="I90" s="2"/>
      <c r="J90" s="2"/>
      <c r="K90" s="2"/>
      <c r="L90" s="2"/>
      <c r="M90" s="2"/>
      <c r="N90" s="2">
        <v>101.086879791692</v>
      </c>
      <c r="O90" s="2">
        <v>101.103751749964</v>
      </c>
      <c r="P90" s="2">
        <v>101.603694583289</v>
      </c>
      <c r="Q90" s="2">
        <v>101.587057333323</v>
      </c>
      <c r="R90" s="2">
        <v>101.587057333323</v>
      </c>
      <c r="S90" s="2">
        <v>101.88696849998099</v>
      </c>
      <c r="T90" s="2">
        <v>102.23599933332299</v>
      </c>
      <c r="U90" s="2" t="s">
        <v>43</v>
      </c>
      <c r="V90" s="2">
        <v>-4</v>
      </c>
      <c r="W90" s="2">
        <v>1</v>
      </c>
      <c r="X90" s="2">
        <v>1</v>
      </c>
      <c r="Y90" s="2">
        <v>0.64675116667058297</v>
      </c>
      <c r="Z90" s="2"/>
      <c r="AA90" s="2"/>
      <c r="AB90" s="2"/>
      <c r="AC90" s="2"/>
      <c r="AD90" s="2" t="s">
        <v>38</v>
      </c>
      <c r="AE90" s="2">
        <v>1</v>
      </c>
      <c r="AF90" s="2" t="s">
        <v>39</v>
      </c>
      <c r="AG90" s="2" t="s">
        <v>40</v>
      </c>
      <c r="AH90" s="2"/>
      <c r="AI90" s="2" t="s">
        <v>41</v>
      </c>
      <c r="AJ90" s="2">
        <v>59.761224027050801</v>
      </c>
      <c r="AK90" s="2" t="s">
        <v>42</v>
      </c>
    </row>
    <row r="91" spans="1:37" x14ac:dyDescent="0.2">
      <c r="A91" s="2">
        <v>88</v>
      </c>
      <c r="B91" s="2">
        <v>0.5</v>
      </c>
      <c r="C91" s="2">
        <v>4</v>
      </c>
      <c r="D91" s="2">
        <v>102.253038124996</v>
      </c>
      <c r="E91" s="2"/>
      <c r="F91" s="2"/>
      <c r="G91" s="2"/>
      <c r="H91" s="2"/>
      <c r="I91" s="2"/>
      <c r="J91" s="2"/>
      <c r="K91" s="2"/>
      <c r="L91" s="2"/>
      <c r="M91" s="2"/>
      <c r="N91" s="2">
        <v>102.236043416662</v>
      </c>
      <c r="O91" s="2">
        <v>102.253038124996</v>
      </c>
      <c r="P91" s="2">
        <v>102.753782749991</v>
      </c>
      <c r="Q91" s="2">
        <v>102.73714158334801</v>
      </c>
      <c r="R91" s="2">
        <v>102.73714158334801</v>
      </c>
      <c r="S91" s="2">
        <v>103.037120458321</v>
      </c>
      <c r="T91" s="2">
        <v>103.170670500025</v>
      </c>
      <c r="U91" s="2" t="s">
        <v>43</v>
      </c>
      <c r="V91" s="2">
        <v>-4</v>
      </c>
      <c r="W91" s="2">
        <v>1</v>
      </c>
      <c r="X91" s="2">
        <v>1</v>
      </c>
      <c r="Y91" s="2">
        <v>0.41763429169077398</v>
      </c>
      <c r="Z91" s="2"/>
      <c r="AA91" s="2"/>
      <c r="AB91" s="2"/>
      <c r="AC91" s="2"/>
      <c r="AD91" s="2" t="s">
        <v>38</v>
      </c>
      <c r="AE91" s="2">
        <v>1</v>
      </c>
      <c r="AF91" s="2" t="s">
        <v>39</v>
      </c>
      <c r="AG91" s="2" t="s">
        <v>40</v>
      </c>
      <c r="AH91" s="2"/>
      <c r="AI91" s="2" t="s">
        <v>41</v>
      </c>
      <c r="AJ91" s="2">
        <v>59.761224027050801</v>
      </c>
      <c r="AK91" s="2" t="s">
        <v>42</v>
      </c>
    </row>
    <row r="92" spans="1:37" x14ac:dyDescent="0.2">
      <c r="A92" s="2">
        <v>89</v>
      </c>
      <c r="B92" s="2">
        <v>0.5</v>
      </c>
      <c r="C92" s="2">
        <v>4</v>
      </c>
      <c r="D92" s="2">
        <v>103.18705212499501</v>
      </c>
      <c r="E92" s="2"/>
      <c r="F92" s="2"/>
      <c r="G92" s="2"/>
      <c r="H92" s="2"/>
      <c r="I92" s="2"/>
      <c r="J92" s="2"/>
      <c r="K92" s="2"/>
      <c r="L92" s="2"/>
      <c r="M92" s="2"/>
      <c r="N92" s="2">
        <v>103.17070687504</v>
      </c>
      <c r="O92" s="2">
        <v>103.18705212499501</v>
      </c>
      <c r="P92" s="2">
        <v>103.687166374992</v>
      </c>
      <c r="Q92" s="2">
        <v>103.669735125033</v>
      </c>
      <c r="R92" s="2">
        <v>103.669735125033</v>
      </c>
      <c r="S92" s="2">
        <v>103.970475833281</v>
      </c>
      <c r="T92" s="2">
        <v>104.15387845831</v>
      </c>
      <c r="U92" s="2" t="s">
        <v>43</v>
      </c>
      <c r="V92" s="2">
        <v>-4</v>
      </c>
      <c r="W92" s="2">
        <v>1</v>
      </c>
      <c r="X92" s="2">
        <v>1</v>
      </c>
      <c r="Y92" s="2">
        <v>0.46800954174250398</v>
      </c>
      <c r="Z92" s="2"/>
      <c r="AA92" s="2"/>
      <c r="AB92" s="2"/>
      <c r="AC92" s="2"/>
      <c r="AD92" s="2" t="s">
        <v>38</v>
      </c>
      <c r="AE92" s="2">
        <v>1</v>
      </c>
      <c r="AF92" s="2" t="s">
        <v>39</v>
      </c>
      <c r="AG92" s="2" t="s">
        <v>40</v>
      </c>
      <c r="AH92" s="2"/>
      <c r="AI92" s="2" t="s">
        <v>41</v>
      </c>
      <c r="AJ92" s="2">
        <v>59.761224027050801</v>
      </c>
      <c r="AK92" s="2" t="s">
        <v>42</v>
      </c>
    </row>
    <row r="93" spans="1:37" x14ac:dyDescent="0.2">
      <c r="A93" s="2">
        <v>90</v>
      </c>
      <c r="B93" s="2">
        <v>0.5</v>
      </c>
      <c r="C93" s="2">
        <v>3.5</v>
      </c>
      <c r="D93" s="2">
        <v>104.170332125039</v>
      </c>
      <c r="E93" s="2"/>
      <c r="F93" s="2"/>
      <c r="G93" s="2"/>
      <c r="H93" s="2"/>
      <c r="I93" s="2"/>
      <c r="J93" s="2"/>
      <c r="K93" s="2"/>
      <c r="L93" s="2"/>
      <c r="M93" s="2"/>
      <c r="N93" s="2">
        <v>104.153907333384</v>
      </c>
      <c r="O93" s="2">
        <v>104.170332125039</v>
      </c>
      <c r="P93" s="2">
        <v>104.670427000034</v>
      </c>
      <c r="Q93" s="2">
        <v>104.653628791682</v>
      </c>
      <c r="R93" s="2">
        <v>104.653628791682</v>
      </c>
      <c r="S93" s="2">
        <v>104.953722041682</v>
      </c>
      <c r="T93" s="2">
        <v>105.07046520838099</v>
      </c>
      <c r="U93" s="2" t="s">
        <v>43</v>
      </c>
      <c r="V93" s="2">
        <v>-3.5</v>
      </c>
      <c r="W93" s="2">
        <v>1</v>
      </c>
      <c r="X93" s="2">
        <v>1</v>
      </c>
      <c r="Y93" s="2">
        <v>0.402114833355881</v>
      </c>
      <c r="Z93" s="2"/>
      <c r="AA93" s="2"/>
      <c r="AB93" s="2"/>
      <c r="AC93" s="2"/>
      <c r="AD93" s="2" t="s">
        <v>38</v>
      </c>
      <c r="AE93" s="2">
        <v>1</v>
      </c>
      <c r="AF93" s="2" t="s">
        <v>39</v>
      </c>
      <c r="AG93" s="2" t="s">
        <v>40</v>
      </c>
      <c r="AH93" s="2"/>
      <c r="AI93" s="2" t="s">
        <v>41</v>
      </c>
      <c r="AJ93" s="2">
        <v>59.761224027050801</v>
      </c>
      <c r="AK93" s="2" t="s">
        <v>42</v>
      </c>
    </row>
    <row r="94" spans="1:37" x14ac:dyDescent="0.2">
      <c r="A94" s="2">
        <v>91</v>
      </c>
      <c r="B94" s="2">
        <v>0.5</v>
      </c>
      <c r="C94" s="2">
        <v>3.5</v>
      </c>
      <c r="D94" s="2">
        <v>105.087084791623</v>
      </c>
      <c r="E94" s="2"/>
      <c r="F94" s="2"/>
      <c r="G94" s="2"/>
      <c r="H94" s="2"/>
      <c r="I94" s="2"/>
      <c r="J94" s="2"/>
      <c r="K94" s="2"/>
      <c r="L94" s="2"/>
      <c r="M94" s="2"/>
      <c r="N94" s="2">
        <v>105.070492041647</v>
      </c>
      <c r="O94" s="2">
        <v>105.087084791623</v>
      </c>
      <c r="P94" s="2">
        <v>105.587031458388</v>
      </c>
      <c r="Q94" s="2">
        <v>105.57041920838</v>
      </c>
      <c r="R94" s="2">
        <v>105.57041920838</v>
      </c>
      <c r="S94" s="2">
        <v>105.870372249978</v>
      </c>
      <c r="T94" s="2">
        <v>105.920378749957</v>
      </c>
      <c r="U94" s="2" t="s">
        <v>43</v>
      </c>
      <c r="V94" s="2">
        <v>-3.5</v>
      </c>
      <c r="W94" s="2">
        <v>1</v>
      </c>
      <c r="X94" s="2">
        <v>1</v>
      </c>
      <c r="Y94" s="2">
        <v>0.33728441665880399</v>
      </c>
      <c r="Z94" s="2"/>
      <c r="AA94" s="2"/>
      <c r="AB94" s="2"/>
      <c r="AC94" s="2"/>
      <c r="AD94" s="2" t="s">
        <v>38</v>
      </c>
      <c r="AE94" s="2">
        <v>1</v>
      </c>
      <c r="AF94" s="2" t="s">
        <v>39</v>
      </c>
      <c r="AG94" s="2" t="s">
        <v>40</v>
      </c>
      <c r="AH94" s="2"/>
      <c r="AI94" s="2" t="s">
        <v>41</v>
      </c>
      <c r="AJ94" s="2">
        <v>59.761224027050801</v>
      </c>
      <c r="AK94" s="2" t="s">
        <v>42</v>
      </c>
    </row>
    <row r="95" spans="1:37" x14ac:dyDescent="0.2">
      <c r="A95" s="2">
        <v>92</v>
      </c>
      <c r="B95" s="2">
        <v>0.5</v>
      </c>
      <c r="C95" s="2">
        <v>3.5</v>
      </c>
      <c r="D95" s="2">
        <v>105.936606375035</v>
      </c>
      <c r="E95" s="2"/>
      <c r="F95" s="2"/>
      <c r="G95" s="2"/>
      <c r="H95" s="2"/>
      <c r="I95" s="2"/>
      <c r="J95" s="2"/>
      <c r="K95" s="2"/>
      <c r="L95" s="2"/>
      <c r="M95" s="2"/>
      <c r="N95" s="2">
        <v>105.920400541625</v>
      </c>
      <c r="O95" s="2">
        <v>105.936606375035</v>
      </c>
      <c r="P95" s="2">
        <v>106.437177541666</v>
      </c>
      <c r="Q95" s="2">
        <v>106.420364333317</v>
      </c>
      <c r="R95" s="2">
        <v>106.420364333317</v>
      </c>
      <c r="S95" s="2">
        <v>106.72049645835099</v>
      </c>
      <c r="T95" s="2">
        <v>106.753905249992</v>
      </c>
      <c r="U95" s="2" t="s">
        <v>43</v>
      </c>
      <c r="V95" s="2">
        <v>-3.5</v>
      </c>
      <c r="W95" s="2">
        <v>1</v>
      </c>
      <c r="X95" s="2">
        <v>1</v>
      </c>
      <c r="Y95" s="2">
        <v>0.32533645839430397</v>
      </c>
      <c r="Z95" s="2"/>
      <c r="AA95" s="2"/>
      <c r="AB95" s="2"/>
      <c r="AC95" s="2"/>
      <c r="AD95" s="2" t="s">
        <v>38</v>
      </c>
      <c r="AE95" s="2">
        <v>1</v>
      </c>
      <c r="AF95" s="2" t="s">
        <v>39</v>
      </c>
      <c r="AG95" s="2" t="s">
        <v>40</v>
      </c>
      <c r="AH95" s="2"/>
      <c r="AI95" s="2" t="s">
        <v>41</v>
      </c>
      <c r="AJ95" s="2">
        <v>59.761224027050801</v>
      </c>
      <c r="AK95" s="2" t="s">
        <v>42</v>
      </c>
    </row>
    <row r="96" spans="1:37" x14ac:dyDescent="0.2">
      <c r="A96" s="2">
        <v>93</v>
      </c>
      <c r="B96" s="2">
        <v>0.5</v>
      </c>
      <c r="C96" s="2">
        <v>3</v>
      </c>
      <c r="D96" s="2">
        <v>106.770305083366</v>
      </c>
      <c r="E96" s="2"/>
      <c r="F96" s="2"/>
      <c r="G96" s="2"/>
      <c r="H96" s="2"/>
      <c r="I96" s="2"/>
      <c r="J96" s="2"/>
      <c r="K96" s="2"/>
      <c r="L96" s="2"/>
      <c r="M96" s="2"/>
      <c r="N96" s="2">
        <v>106.75393170828499</v>
      </c>
      <c r="O96" s="2">
        <v>106.770305083366</v>
      </c>
      <c r="P96" s="2">
        <v>107.27030850003899</v>
      </c>
      <c r="Q96" s="2">
        <v>107.253675375017</v>
      </c>
      <c r="R96" s="2">
        <v>107.253675375017</v>
      </c>
      <c r="S96" s="2">
        <v>107.55352870828899</v>
      </c>
      <c r="T96" s="2">
        <v>107.536744791665</v>
      </c>
      <c r="U96" s="2" t="s">
        <v>43</v>
      </c>
      <c r="V96" s="2">
        <v>-3</v>
      </c>
      <c r="W96" s="2">
        <v>1</v>
      </c>
      <c r="X96" s="2">
        <v>1</v>
      </c>
      <c r="Y96" s="2">
        <v>0.26900249999016501</v>
      </c>
      <c r="Z96" s="2"/>
      <c r="AA96" s="2"/>
      <c r="AB96" s="2"/>
      <c r="AC96" s="2"/>
      <c r="AD96" s="2" t="s">
        <v>38</v>
      </c>
      <c r="AE96" s="2">
        <v>1</v>
      </c>
      <c r="AF96" s="2" t="s">
        <v>39</v>
      </c>
      <c r="AG96" s="2" t="s">
        <v>40</v>
      </c>
      <c r="AH96" s="2"/>
      <c r="AI96" s="2" t="s">
        <v>41</v>
      </c>
      <c r="AJ96" s="2">
        <v>59.761224027050801</v>
      </c>
      <c r="AK96" s="2" t="s">
        <v>42</v>
      </c>
    </row>
    <row r="97" spans="1:37" x14ac:dyDescent="0.2">
      <c r="A97" s="2">
        <v>94</v>
      </c>
      <c r="B97" s="2">
        <v>0.5</v>
      </c>
      <c r="C97" s="2">
        <v>3</v>
      </c>
      <c r="D97" s="2">
        <v>107.55352870828899</v>
      </c>
      <c r="E97" s="2"/>
      <c r="F97" s="2"/>
      <c r="G97" s="2"/>
      <c r="H97" s="2"/>
      <c r="I97" s="2"/>
      <c r="J97" s="2"/>
      <c r="K97" s="2"/>
      <c r="L97" s="2"/>
      <c r="M97" s="2"/>
      <c r="N97" s="2">
        <v>107.536765750032</v>
      </c>
      <c r="O97" s="2">
        <v>107.55352870828899</v>
      </c>
      <c r="P97" s="2">
        <v>108.053756374982</v>
      </c>
      <c r="Q97" s="2">
        <v>108.036950583337</v>
      </c>
      <c r="R97" s="2">
        <v>108.036950583337</v>
      </c>
      <c r="S97" s="2">
        <v>108.337056249962</v>
      </c>
      <c r="T97" s="2">
        <v>108.603856916656</v>
      </c>
      <c r="U97" s="2" t="s">
        <v>44</v>
      </c>
      <c r="V97" s="2">
        <v>3</v>
      </c>
      <c r="W97" s="2">
        <v>0</v>
      </c>
      <c r="X97" s="2">
        <v>0</v>
      </c>
      <c r="Y97" s="2">
        <v>0.56489762500859797</v>
      </c>
      <c r="Z97" s="2"/>
      <c r="AA97" s="2"/>
      <c r="AB97" s="2"/>
      <c r="AC97" s="2"/>
      <c r="AD97" s="2" t="s">
        <v>38</v>
      </c>
      <c r="AE97" s="2">
        <v>1</v>
      </c>
      <c r="AF97" s="2" t="s">
        <v>39</v>
      </c>
      <c r="AG97" s="2" t="s">
        <v>40</v>
      </c>
      <c r="AH97" s="2"/>
      <c r="AI97" s="2" t="s">
        <v>41</v>
      </c>
      <c r="AJ97" s="2">
        <v>59.761224027050801</v>
      </c>
      <c r="AK97" s="2" t="s">
        <v>42</v>
      </c>
    </row>
    <row r="98" spans="1:37" x14ac:dyDescent="0.2">
      <c r="A98" s="2">
        <v>95</v>
      </c>
      <c r="B98" s="2">
        <v>0.5</v>
      </c>
      <c r="C98" s="2">
        <v>3.5</v>
      </c>
      <c r="D98" s="2">
        <v>108.61972370836899</v>
      </c>
      <c r="E98" s="2"/>
      <c r="F98" s="2"/>
      <c r="G98" s="2"/>
      <c r="H98" s="2"/>
      <c r="I98" s="2"/>
      <c r="J98" s="2"/>
      <c r="K98" s="2"/>
      <c r="L98" s="2"/>
      <c r="M98" s="2"/>
      <c r="N98" s="2">
        <v>108.6038817917</v>
      </c>
      <c r="O98" s="2">
        <v>108.61972370836899</v>
      </c>
      <c r="P98" s="2">
        <v>109.12035016669</v>
      </c>
      <c r="Q98" s="2">
        <v>109.10364941670601</v>
      </c>
      <c r="R98" s="2">
        <v>109.10364941670601</v>
      </c>
      <c r="S98" s="2">
        <v>109.40357829164699</v>
      </c>
      <c r="T98" s="2">
        <v>109.787232624949</v>
      </c>
      <c r="U98" s="2" t="s">
        <v>43</v>
      </c>
      <c r="V98" s="2">
        <v>-3.5</v>
      </c>
      <c r="W98" s="2">
        <v>1</v>
      </c>
      <c r="X98" s="2">
        <v>1</v>
      </c>
      <c r="Y98" s="2">
        <v>0.66998166660778202</v>
      </c>
      <c r="Z98" s="2"/>
      <c r="AA98" s="2"/>
      <c r="AB98" s="2"/>
      <c r="AC98" s="2"/>
      <c r="AD98" s="2" t="s">
        <v>38</v>
      </c>
      <c r="AE98" s="2">
        <v>1</v>
      </c>
      <c r="AF98" s="2" t="s">
        <v>39</v>
      </c>
      <c r="AG98" s="2" t="s">
        <v>40</v>
      </c>
      <c r="AH98" s="2"/>
      <c r="AI98" s="2" t="s">
        <v>41</v>
      </c>
      <c r="AJ98" s="2">
        <v>59.761224027050801</v>
      </c>
      <c r="AK98" s="2" t="s">
        <v>42</v>
      </c>
    </row>
    <row r="99" spans="1:37" x14ac:dyDescent="0.2">
      <c r="A99" s="2">
        <v>96</v>
      </c>
      <c r="B99" s="2">
        <v>0.5</v>
      </c>
      <c r="C99" s="2">
        <v>3.5</v>
      </c>
      <c r="D99" s="2">
        <v>109.80369520839299</v>
      </c>
      <c r="E99" s="2"/>
      <c r="F99" s="2"/>
      <c r="G99" s="2"/>
      <c r="H99" s="2"/>
      <c r="I99" s="2"/>
      <c r="J99" s="2"/>
      <c r="K99" s="2"/>
      <c r="L99" s="2"/>
      <c r="M99" s="2"/>
      <c r="N99" s="2">
        <v>109.787253875053</v>
      </c>
      <c r="O99" s="2">
        <v>109.80369520839299</v>
      </c>
      <c r="P99" s="2">
        <v>110.303778875037</v>
      </c>
      <c r="Q99" s="2">
        <v>110.286976166652</v>
      </c>
      <c r="R99" s="2">
        <v>110.286976166652</v>
      </c>
      <c r="S99" s="2">
        <v>110.587110416614</v>
      </c>
      <c r="T99" s="2">
        <v>110.903800083324</v>
      </c>
      <c r="U99" s="2" t="s">
        <v>44</v>
      </c>
      <c r="V99" s="2">
        <v>3.5</v>
      </c>
      <c r="W99" s="2">
        <v>1</v>
      </c>
      <c r="X99" s="2">
        <v>1</v>
      </c>
      <c r="Y99" s="2">
        <v>0.61661470832768805</v>
      </c>
      <c r="Z99" s="2"/>
      <c r="AA99" s="2"/>
      <c r="AB99" s="2"/>
      <c r="AC99" s="2"/>
      <c r="AD99" s="2" t="s">
        <v>38</v>
      </c>
      <c r="AE99" s="2">
        <v>1</v>
      </c>
      <c r="AF99" s="2" t="s">
        <v>39</v>
      </c>
      <c r="AG99" s="2" t="s">
        <v>40</v>
      </c>
      <c r="AH99" s="2"/>
      <c r="AI99" s="2" t="s">
        <v>41</v>
      </c>
      <c r="AJ99" s="2">
        <v>59.761224027050801</v>
      </c>
      <c r="AK99" s="2" t="s">
        <v>42</v>
      </c>
    </row>
    <row r="100" spans="1:37" x14ac:dyDescent="0.2">
      <c r="A100" s="2">
        <v>97</v>
      </c>
      <c r="B100" s="2">
        <v>0.5</v>
      </c>
      <c r="C100" s="2">
        <v>3.5</v>
      </c>
      <c r="D100" s="2">
        <v>110.919642916648</v>
      </c>
      <c r="E100" s="2"/>
      <c r="F100" s="2"/>
      <c r="G100" s="2"/>
      <c r="H100" s="2"/>
      <c r="I100" s="2"/>
      <c r="J100" s="2"/>
      <c r="K100" s="2"/>
      <c r="L100" s="2"/>
      <c r="M100" s="2"/>
      <c r="N100" s="2">
        <v>110.90381941664999</v>
      </c>
      <c r="O100" s="2">
        <v>110.919642916648</v>
      </c>
      <c r="P100" s="2">
        <v>111.419746125001</v>
      </c>
      <c r="Q100" s="2">
        <v>111.403607041691</v>
      </c>
      <c r="R100" s="2">
        <v>111.403607041691</v>
      </c>
      <c r="S100" s="2">
        <v>111.703742916696</v>
      </c>
      <c r="T100" s="2">
        <v>111.936508916668</v>
      </c>
      <c r="U100" s="2" t="s">
        <v>43</v>
      </c>
      <c r="V100" s="2">
        <v>-3.5</v>
      </c>
      <c r="W100" s="2">
        <v>1</v>
      </c>
      <c r="X100" s="2">
        <v>1</v>
      </c>
      <c r="Y100" s="2">
        <v>0.52696108329109903</v>
      </c>
      <c r="Z100" s="2"/>
      <c r="AA100" s="2"/>
      <c r="AB100" s="2"/>
      <c r="AC100" s="2"/>
      <c r="AD100" s="2" t="s">
        <v>38</v>
      </c>
      <c r="AE100" s="2">
        <v>1</v>
      </c>
      <c r="AF100" s="2" t="s">
        <v>39</v>
      </c>
      <c r="AG100" s="2" t="s">
        <v>40</v>
      </c>
      <c r="AH100" s="2"/>
      <c r="AI100" s="2" t="s">
        <v>41</v>
      </c>
      <c r="AJ100" s="2">
        <v>59.761224027050801</v>
      </c>
      <c r="AK100" s="2" t="s">
        <v>42</v>
      </c>
    </row>
    <row r="101" spans="1:37" x14ac:dyDescent="0.2">
      <c r="A101" s="2">
        <v>98</v>
      </c>
      <c r="B101" s="2">
        <v>0.5</v>
      </c>
      <c r="C101" s="2">
        <v>3</v>
      </c>
      <c r="D101" s="2">
        <v>111.952664333279</v>
      </c>
      <c r="E101" s="2"/>
      <c r="F101" s="2"/>
      <c r="G101" s="2"/>
      <c r="H101" s="2"/>
      <c r="I101" s="2"/>
      <c r="J101" s="2"/>
      <c r="K101" s="2"/>
      <c r="L101" s="2"/>
      <c r="M101" s="2"/>
      <c r="N101" s="2">
        <v>111.93653499998599</v>
      </c>
      <c r="O101" s="2">
        <v>111.952664333279</v>
      </c>
      <c r="P101" s="2">
        <v>112.452448083321</v>
      </c>
      <c r="Q101" s="2">
        <v>112.436388458358</v>
      </c>
      <c r="R101" s="2">
        <v>112.436388458358</v>
      </c>
      <c r="S101" s="2">
        <v>112.735849375022</v>
      </c>
      <c r="T101" s="2">
        <v>112.970604041708</v>
      </c>
      <c r="U101" s="2" t="s">
        <v>43</v>
      </c>
      <c r="V101" s="2">
        <v>-3</v>
      </c>
      <c r="W101" s="2">
        <v>1</v>
      </c>
      <c r="X101" s="2">
        <v>1</v>
      </c>
      <c r="Y101" s="2">
        <v>0.51816949993371997</v>
      </c>
      <c r="Z101" s="2"/>
      <c r="AA101" s="2"/>
      <c r="AB101" s="2"/>
      <c r="AC101" s="2"/>
      <c r="AD101" s="2" t="s">
        <v>38</v>
      </c>
      <c r="AE101" s="2">
        <v>1</v>
      </c>
      <c r="AF101" s="2" t="s">
        <v>39</v>
      </c>
      <c r="AG101" s="2" t="s">
        <v>40</v>
      </c>
      <c r="AH101" s="2"/>
      <c r="AI101" s="2" t="s">
        <v>41</v>
      </c>
      <c r="AJ101" s="2">
        <v>59.761224027050801</v>
      </c>
      <c r="AK101" s="2" t="s">
        <v>42</v>
      </c>
    </row>
    <row r="102" spans="1:37" x14ac:dyDescent="0.2">
      <c r="A102" s="2">
        <v>99</v>
      </c>
      <c r="B102" s="2">
        <v>0.5</v>
      </c>
      <c r="C102" s="2">
        <v>3</v>
      </c>
      <c r="D102" s="2">
        <v>112.986945874989</v>
      </c>
      <c r="E102" s="2"/>
      <c r="F102" s="2"/>
      <c r="G102" s="2"/>
      <c r="H102" s="2"/>
      <c r="I102" s="2"/>
      <c r="J102" s="2"/>
      <c r="K102" s="2"/>
      <c r="L102" s="2"/>
      <c r="M102" s="2"/>
      <c r="N102" s="2">
        <v>112.970644833287</v>
      </c>
      <c r="O102" s="2">
        <v>112.986945874989</v>
      </c>
      <c r="P102" s="2">
        <v>113.487169458298</v>
      </c>
      <c r="Q102" s="2">
        <v>113.470432749949</v>
      </c>
      <c r="R102" s="2">
        <v>113.470432749949</v>
      </c>
      <c r="S102" s="2">
        <v>113.77035408339</v>
      </c>
      <c r="T102" s="2">
        <v>114.137183208368</v>
      </c>
      <c r="U102" s="2" t="s">
        <v>43</v>
      </c>
      <c r="V102" s="2">
        <v>-3</v>
      </c>
      <c r="W102" s="2">
        <v>1</v>
      </c>
      <c r="X102" s="2">
        <v>1</v>
      </c>
      <c r="Y102" s="2">
        <v>0.65810304170008804</v>
      </c>
      <c r="Z102" s="2"/>
      <c r="AA102" s="2"/>
      <c r="AB102" s="2"/>
      <c r="AC102" s="2"/>
      <c r="AD102" s="2" t="s">
        <v>38</v>
      </c>
      <c r="AE102" s="2">
        <v>1</v>
      </c>
      <c r="AF102" s="2" t="s">
        <v>39</v>
      </c>
      <c r="AG102" s="2" t="s">
        <v>40</v>
      </c>
      <c r="AH102" s="2"/>
      <c r="AI102" s="2" t="s">
        <v>41</v>
      </c>
      <c r="AJ102" s="2">
        <v>59.761224027050801</v>
      </c>
      <c r="AK102" s="2" t="s">
        <v>42</v>
      </c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114.137208624976</v>
      </c>
      <c r="AA103" s="2">
        <v>114.153702916694</v>
      </c>
      <c r="AB103" s="2">
        <v>117.153352000052</v>
      </c>
      <c r="AC103" s="2">
        <v>117.137107416638</v>
      </c>
      <c r="AD103" s="2" t="s">
        <v>38</v>
      </c>
      <c r="AE103" s="2">
        <v>1</v>
      </c>
      <c r="AF103" s="2" t="s">
        <v>39</v>
      </c>
      <c r="AG103" s="2" t="s">
        <v>40</v>
      </c>
      <c r="AH103" s="2"/>
      <c r="AI103" s="2" t="s">
        <v>41</v>
      </c>
      <c r="AJ103" s="2">
        <v>59.761224027050801</v>
      </c>
      <c r="AK103" s="2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9"/>
  <sheetViews>
    <sheetView zoomScaleNormal="100" workbookViewId="0">
      <pane ySplit="3" topLeftCell="A123" activePane="bottomLeft" state="frozen"/>
      <selection pane="bottomLeft" activeCell="L11" sqref="L11"/>
    </sheetView>
  </sheetViews>
  <sheetFormatPr baseColWidth="10" defaultColWidth="8.6640625" defaultRowHeight="15" x14ac:dyDescent="0.2"/>
  <cols>
    <col min="1" max="1" width="26" customWidth="1"/>
    <col min="2" max="2" width="17" customWidth="1"/>
    <col min="3" max="3" width="14.6640625" customWidth="1"/>
    <col min="4" max="4" width="15" customWidth="1"/>
    <col min="5" max="5" width="11" customWidth="1"/>
    <col min="6" max="6" width="15" customWidth="1"/>
    <col min="7" max="7" width="14" customWidth="1"/>
    <col min="8" max="8" width="12" customWidth="1"/>
    <col min="9" max="9" width="20" customWidth="1"/>
  </cols>
  <sheetData>
    <row r="1" spans="1:9" ht="17" x14ac:dyDescent="0.2">
      <c r="A1" s="3" t="s">
        <v>45</v>
      </c>
    </row>
    <row r="3" spans="1:9" ht="42" customHeight="1" x14ac:dyDescent="0.2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</row>
    <row r="4" spans="1:9" x14ac:dyDescent="0.2">
      <c r="A4" s="5">
        <v>1</v>
      </c>
      <c r="B4" s="5">
        <v>10</v>
      </c>
      <c r="C4" s="5">
        <v>2</v>
      </c>
      <c r="D4" s="5" t="s">
        <v>43</v>
      </c>
      <c r="E4" s="5"/>
      <c r="F4" s="5">
        <v>1</v>
      </c>
      <c r="G4" s="5">
        <v>0</v>
      </c>
      <c r="H4" s="5" t="str">
        <f>IF(G4=1,SUM($G$4:G4),"")</f>
        <v/>
      </c>
      <c r="I4" s="5" t="str">
        <f t="shared" ref="I4:I35" si="0">IF(G4=1,B4,"")</f>
        <v/>
      </c>
    </row>
    <row r="5" spans="1:9" x14ac:dyDescent="0.2">
      <c r="A5" s="5">
        <v>2</v>
      </c>
      <c r="B5" s="5">
        <v>8</v>
      </c>
      <c r="C5" s="5">
        <v>2</v>
      </c>
      <c r="D5" s="5" t="s">
        <v>43</v>
      </c>
      <c r="E5" s="5"/>
      <c r="F5" s="5">
        <v>1</v>
      </c>
      <c r="G5" s="5">
        <f t="shared" ref="G5:G36" si="1">IF(AND(F4=1,F5=0),1,0)</f>
        <v>0</v>
      </c>
      <c r="H5" s="5" t="str">
        <f>IF(G5=1,SUM($G$4:G5),"")</f>
        <v/>
      </c>
      <c r="I5" s="5" t="str">
        <f t="shared" si="0"/>
        <v/>
      </c>
    </row>
    <row r="6" spans="1:9" x14ac:dyDescent="0.2">
      <c r="A6" s="5">
        <v>3</v>
      </c>
      <c r="B6" s="5">
        <v>6</v>
      </c>
      <c r="C6" s="5">
        <v>2</v>
      </c>
      <c r="D6" s="5" t="s">
        <v>44</v>
      </c>
      <c r="E6" s="5"/>
      <c r="F6" s="5">
        <v>1</v>
      </c>
      <c r="G6" s="5">
        <f t="shared" si="1"/>
        <v>0</v>
      </c>
      <c r="H6" s="5" t="str">
        <f>IF(G6=1,SUM($G$4:G6),"")</f>
        <v/>
      </c>
      <c r="I6" s="5" t="str">
        <f t="shared" si="0"/>
        <v/>
      </c>
    </row>
    <row r="7" spans="1:9" x14ac:dyDescent="0.2">
      <c r="A7" s="5">
        <v>4</v>
      </c>
      <c r="B7" s="5">
        <v>4</v>
      </c>
      <c r="C7" s="5">
        <v>2</v>
      </c>
      <c r="D7" s="5" t="s">
        <v>44</v>
      </c>
      <c r="E7" s="5"/>
      <c r="F7" s="5">
        <v>1</v>
      </c>
      <c r="G7" s="5">
        <f t="shared" si="1"/>
        <v>0</v>
      </c>
      <c r="H7" s="5" t="str">
        <f>IF(G7=1,SUM($G$4:G7),"")</f>
        <v/>
      </c>
      <c r="I7" s="5" t="str">
        <f t="shared" si="0"/>
        <v/>
      </c>
    </row>
    <row r="8" spans="1:9" x14ac:dyDescent="0.2">
      <c r="A8" s="5">
        <v>5</v>
      </c>
      <c r="B8" s="5">
        <v>2</v>
      </c>
      <c r="C8" s="5">
        <v>2</v>
      </c>
      <c r="D8" s="5" t="s">
        <v>43</v>
      </c>
      <c r="E8" s="5"/>
      <c r="F8" s="5">
        <v>1</v>
      </c>
      <c r="G8" s="5">
        <f t="shared" si="1"/>
        <v>0</v>
      </c>
      <c r="H8" s="5" t="str">
        <f>IF(G8=1,SUM($G$4:G8),"")</f>
        <v/>
      </c>
      <c r="I8" s="5" t="str">
        <f t="shared" si="0"/>
        <v/>
      </c>
    </row>
    <row r="9" spans="1:9" x14ac:dyDescent="0.2">
      <c r="A9" s="5">
        <v>6</v>
      </c>
      <c r="B9" s="5">
        <v>1</v>
      </c>
      <c r="C9" s="5">
        <v>2</v>
      </c>
      <c r="D9" s="5" t="s">
        <v>43</v>
      </c>
      <c r="E9" s="5"/>
      <c r="F9" s="5">
        <v>1</v>
      </c>
      <c r="G9" s="5">
        <f t="shared" si="1"/>
        <v>0</v>
      </c>
      <c r="H9" s="5" t="str">
        <f>IF(G9=1,SUM($G$4:G9),"")</f>
        <v/>
      </c>
      <c r="I9" s="5" t="str">
        <f t="shared" si="0"/>
        <v/>
      </c>
    </row>
    <row r="10" spans="1:9" x14ac:dyDescent="0.2">
      <c r="A10" s="5">
        <v>7</v>
      </c>
      <c r="B10" s="5">
        <v>1</v>
      </c>
      <c r="C10" s="5">
        <v>1</v>
      </c>
      <c r="D10" s="5" t="s">
        <v>43</v>
      </c>
      <c r="E10" s="5"/>
      <c r="F10" s="5">
        <v>0</v>
      </c>
      <c r="G10" s="5">
        <f t="shared" si="1"/>
        <v>1</v>
      </c>
      <c r="H10" s="5">
        <f>IF(G10=1,SUM($G$4:G10),"")</f>
        <v>1</v>
      </c>
      <c r="I10" s="5">
        <f t="shared" si="0"/>
        <v>1</v>
      </c>
    </row>
    <row r="11" spans="1:9" x14ac:dyDescent="0.2">
      <c r="A11" s="5">
        <v>8</v>
      </c>
      <c r="B11" s="5">
        <v>2</v>
      </c>
      <c r="C11" s="5">
        <v>1</v>
      </c>
      <c r="D11" s="5" t="s">
        <v>44</v>
      </c>
      <c r="E11" s="5"/>
      <c r="F11" s="5">
        <v>0</v>
      </c>
      <c r="G11" s="5">
        <f t="shared" si="1"/>
        <v>0</v>
      </c>
      <c r="H11" s="5" t="str">
        <f>IF(G11=1,SUM($G$4:G11),"")</f>
        <v/>
      </c>
      <c r="I11" s="5" t="str">
        <f t="shared" si="0"/>
        <v/>
      </c>
    </row>
    <row r="12" spans="1:9" x14ac:dyDescent="0.2">
      <c r="A12" s="5">
        <v>9</v>
      </c>
      <c r="B12" s="5">
        <v>3</v>
      </c>
      <c r="C12" s="5">
        <v>1</v>
      </c>
      <c r="D12" s="5" t="s">
        <v>44</v>
      </c>
      <c r="E12" s="5"/>
      <c r="F12" s="5">
        <v>1</v>
      </c>
      <c r="G12" s="5">
        <f t="shared" si="1"/>
        <v>0</v>
      </c>
      <c r="H12" s="5" t="str">
        <f>IF(G12=1,SUM($G$4:G12),"")</f>
        <v/>
      </c>
      <c r="I12" s="5" t="str">
        <f t="shared" si="0"/>
        <v/>
      </c>
    </row>
    <row r="13" spans="1:9" x14ac:dyDescent="0.2">
      <c r="A13" s="5">
        <v>10</v>
      </c>
      <c r="B13" s="5">
        <v>3</v>
      </c>
      <c r="C13" s="5">
        <v>1</v>
      </c>
      <c r="D13" s="5" t="s">
        <v>44</v>
      </c>
      <c r="E13" s="5"/>
      <c r="F13" s="5">
        <v>1</v>
      </c>
      <c r="G13" s="5">
        <f t="shared" si="1"/>
        <v>0</v>
      </c>
      <c r="H13" s="5" t="str">
        <f>IF(G13=1,SUM($G$4:G13),"")</f>
        <v/>
      </c>
      <c r="I13" s="5" t="str">
        <f t="shared" si="0"/>
        <v/>
      </c>
    </row>
    <row r="14" spans="1:9" x14ac:dyDescent="0.2">
      <c r="A14" s="5">
        <v>11</v>
      </c>
      <c r="B14" s="5">
        <v>3</v>
      </c>
      <c r="C14" s="5">
        <v>1</v>
      </c>
      <c r="D14" s="5" t="s">
        <v>43</v>
      </c>
      <c r="E14" s="5"/>
      <c r="F14" s="5">
        <v>0</v>
      </c>
      <c r="G14" s="5">
        <f t="shared" si="1"/>
        <v>1</v>
      </c>
      <c r="H14" s="5">
        <f>IF(G14=1,SUM($G$4:G14),"")</f>
        <v>2</v>
      </c>
      <c r="I14" s="5">
        <f t="shared" si="0"/>
        <v>3</v>
      </c>
    </row>
    <row r="15" spans="1:9" x14ac:dyDescent="0.2">
      <c r="A15" s="5">
        <v>12</v>
      </c>
      <c r="B15" s="5">
        <v>4</v>
      </c>
      <c r="C15" s="5">
        <v>1</v>
      </c>
      <c r="D15" s="5" t="s">
        <v>44</v>
      </c>
      <c r="E15" s="5"/>
      <c r="F15" s="5">
        <v>1</v>
      </c>
      <c r="G15" s="5">
        <f t="shared" si="1"/>
        <v>0</v>
      </c>
      <c r="H15" s="5" t="str">
        <f>IF(G15=1,SUM($G$4:G15),"")</f>
        <v/>
      </c>
      <c r="I15" s="5" t="str">
        <f t="shared" si="0"/>
        <v/>
      </c>
    </row>
    <row r="16" spans="1:9" x14ac:dyDescent="0.2">
      <c r="A16" s="5">
        <v>13</v>
      </c>
      <c r="B16" s="5">
        <v>4</v>
      </c>
      <c r="C16" s="5">
        <v>1</v>
      </c>
      <c r="D16" s="5" t="s">
        <v>43</v>
      </c>
      <c r="E16" s="5"/>
      <c r="F16" s="5">
        <v>1</v>
      </c>
      <c r="G16" s="5">
        <f t="shared" si="1"/>
        <v>0</v>
      </c>
      <c r="H16" s="5" t="str">
        <f>IF(G16=1,SUM($G$4:G16),"")</f>
        <v/>
      </c>
      <c r="I16" s="5" t="str">
        <f t="shared" si="0"/>
        <v/>
      </c>
    </row>
    <row r="17" spans="1:9" x14ac:dyDescent="0.2">
      <c r="A17" s="5">
        <v>14</v>
      </c>
      <c r="B17" s="5">
        <v>4</v>
      </c>
      <c r="C17" s="5">
        <v>1</v>
      </c>
      <c r="D17" s="5" t="s">
        <v>44</v>
      </c>
      <c r="E17" s="5"/>
      <c r="F17" s="5">
        <v>1</v>
      </c>
      <c r="G17" s="5">
        <f t="shared" si="1"/>
        <v>0</v>
      </c>
      <c r="H17" s="5" t="str">
        <f>IF(G17=1,SUM($G$4:G17),"")</f>
        <v/>
      </c>
      <c r="I17" s="5" t="str">
        <f t="shared" si="0"/>
        <v/>
      </c>
    </row>
    <row r="18" spans="1:9" x14ac:dyDescent="0.2">
      <c r="A18" s="5">
        <v>15</v>
      </c>
      <c r="B18" s="5">
        <v>3</v>
      </c>
      <c r="C18" s="5">
        <v>1</v>
      </c>
      <c r="D18" s="5" t="s">
        <v>44</v>
      </c>
      <c r="E18" s="5"/>
      <c r="F18" s="5">
        <v>1</v>
      </c>
      <c r="G18" s="5">
        <f t="shared" si="1"/>
        <v>0</v>
      </c>
      <c r="H18" s="5" t="str">
        <f>IF(G18=1,SUM($G$4:G18),"")</f>
        <v/>
      </c>
      <c r="I18" s="5" t="str">
        <f t="shared" si="0"/>
        <v/>
      </c>
    </row>
    <row r="19" spans="1:9" x14ac:dyDescent="0.2">
      <c r="A19" s="5">
        <v>16</v>
      </c>
      <c r="B19" s="5">
        <v>3</v>
      </c>
      <c r="C19" s="5">
        <v>1</v>
      </c>
      <c r="D19" s="5" t="s">
        <v>43</v>
      </c>
      <c r="E19" s="5"/>
      <c r="F19" s="5">
        <v>1</v>
      </c>
      <c r="G19" s="5">
        <f t="shared" si="1"/>
        <v>0</v>
      </c>
      <c r="H19" s="5" t="str">
        <f>IF(G19=1,SUM($G$4:G19),"")</f>
        <v/>
      </c>
      <c r="I19" s="5" t="str">
        <f t="shared" si="0"/>
        <v/>
      </c>
    </row>
    <row r="20" spans="1:9" x14ac:dyDescent="0.2">
      <c r="A20" s="5">
        <v>17</v>
      </c>
      <c r="B20" s="5">
        <v>3</v>
      </c>
      <c r="C20" s="5">
        <v>0.5</v>
      </c>
      <c r="D20" s="5" t="s">
        <v>43</v>
      </c>
      <c r="E20" s="5"/>
      <c r="F20" s="5">
        <v>0</v>
      </c>
      <c r="G20" s="5">
        <f t="shared" si="1"/>
        <v>1</v>
      </c>
      <c r="H20" s="5">
        <f>IF(G20=1,SUM($G$4:G20),"")</f>
        <v>3</v>
      </c>
      <c r="I20" s="5">
        <f t="shared" si="0"/>
        <v>3</v>
      </c>
    </row>
    <row r="21" spans="1:9" x14ac:dyDescent="0.2">
      <c r="A21" s="5">
        <v>18</v>
      </c>
      <c r="B21" s="5">
        <v>3.5</v>
      </c>
      <c r="C21" s="5">
        <v>0.5</v>
      </c>
      <c r="D21" s="5" t="s">
        <v>43</v>
      </c>
      <c r="E21" s="5"/>
      <c r="F21" s="5">
        <v>0</v>
      </c>
      <c r="G21" s="5">
        <f t="shared" si="1"/>
        <v>0</v>
      </c>
      <c r="H21" s="5" t="str">
        <f>IF(G21=1,SUM($G$4:G21),"")</f>
        <v/>
      </c>
      <c r="I21" s="5" t="str">
        <f t="shared" si="0"/>
        <v/>
      </c>
    </row>
    <row r="22" spans="1:9" x14ac:dyDescent="0.2">
      <c r="A22" s="5">
        <v>19</v>
      </c>
      <c r="B22" s="5">
        <v>4</v>
      </c>
      <c r="C22" s="5">
        <v>0.5</v>
      </c>
      <c r="D22" s="5" t="s">
        <v>43</v>
      </c>
      <c r="E22" s="5"/>
      <c r="F22" s="5">
        <v>1</v>
      </c>
      <c r="G22" s="5">
        <f t="shared" si="1"/>
        <v>0</v>
      </c>
      <c r="H22" s="5" t="str">
        <f>IF(G22=1,SUM($G$4:G22),"")</f>
        <v/>
      </c>
      <c r="I22" s="5" t="str">
        <f t="shared" si="0"/>
        <v/>
      </c>
    </row>
    <row r="23" spans="1:9" x14ac:dyDescent="0.2">
      <c r="A23" s="5">
        <v>20</v>
      </c>
      <c r="B23" s="5">
        <v>4</v>
      </c>
      <c r="C23" s="5">
        <v>0.5</v>
      </c>
      <c r="D23" s="5" t="s">
        <v>44</v>
      </c>
      <c r="E23" s="5"/>
      <c r="F23" s="5">
        <v>1</v>
      </c>
      <c r="G23" s="5">
        <f t="shared" si="1"/>
        <v>0</v>
      </c>
      <c r="H23" s="5" t="str">
        <f>IF(G23=1,SUM($G$4:G23),"")</f>
        <v/>
      </c>
      <c r="I23" s="5" t="str">
        <f t="shared" si="0"/>
        <v/>
      </c>
    </row>
    <row r="24" spans="1:9" x14ac:dyDescent="0.2">
      <c r="A24" s="5">
        <v>21</v>
      </c>
      <c r="B24" s="5">
        <v>4</v>
      </c>
      <c r="C24" s="5">
        <v>0.5</v>
      </c>
      <c r="D24" s="5" t="s">
        <v>44</v>
      </c>
      <c r="E24" s="5"/>
      <c r="F24" s="5">
        <v>1</v>
      </c>
      <c r="G24" s="5">
        <f t="shared" si="1"/>
        <v>0</v>
      </c>
      <c r="H24" s="5" t="str">
        <f>IF(G24=1,SUM($G$4:G24),"")</f>
        <v/>
      </c>
      <c r="I24" s="5" t="str">
        <f t="shared" si="0"/>
        <v/>
      </c>
    </row>
    <row r="25" spans="1:9" x14ac:dyDescent="0.2">
      <c r="A25" s="5">
        <v>22</v>
      </c>
      <c r="B25" s="5">
        <v>3.5</v>
      </c>
      <c r="C25" s="5">
        <v>0.5</v>
      </c>
      <c r="D25" s="5" t="s">
        <v>44</v>
      </c>
      <c r="E25" s="5"/>
      <c r="F25" s="5">
        <v>1</v>
      </c>
      <c r="G25" s="5">
        <f t="shared" si="1"/>
        <v>0</v>
      </c>
      <c r="H25" s="5" t="str">
        <f>IF(G25=1,SUM($G$4:G25),"")</f>
        <v/>
      </c>
      <c r="I25" s="5" t="str">
        <f t="shared" si="0"/>
        <v/>
      </c>
    </row>
    <row r="26" spans="1:9" x14ac:dyDescent="0.2">
      <c r="A26" s="5">
        <v>23</v>
      </c>
      <c r="B26" s="5">
        <v>3.5</v>
      </c>
      <c r="C26" s="5">
        <v>0.5</v>
      </c>
      <c r="D26" s="5" t="s">
        <v>43</v>
      </c>
      <c r="E26" s="5"/>
      <c r="F26" s="5">
        <v>1</v>
      </c>
      <c r="G26" s="5">
        <f t="shared" si="1"/>
        <v>0</v>
      </c>
      <c r="H26" s="5" t="str">
        <f>IF(G26=1,SUM($G$4:G26),"")</f>
        <v/>
      </c>
      <c r="I26" s="5" t="str">
        <f t="shared" si="0"/>
        <v/>
      </c>
    </row>
    <row r="27" spans="1:9" x14ac:dyDescent="0.2">
      <c r="A27" s="5">
        <v>24</v>
      </c>
      <c r="B27" s="5">
        <v>3.5</v>
      </c>
      <c r="C27" s="5">
        <v>0.5</v>
      </c>
      <c r="D27" s="5" t="s">
        <v>44</v>
      </c>
      <c r="E27" s="5"/>
      <c r="F27" s="5">
        <v>1</v>
      </c>
      <c r="G27" s="5">
        <f t="shared" si="1"/>
        <v>0</v>
      </c>
      <c r="H27" s="5" t="str">
        <f>IF(G27=1,SUM($G$4:G27),"")</f>
        <v/>
      </c>
      <c r="I27" s="5" t="str">
        <f t="shared" si="0"/>
        <v/>
      </c>
    </row>
    <row r="28" spans="1:9" x14ac:dyDescent="0.2">
      <c r="A28" s="5">
        <v>25</v>
      </c>
      <c r="B28" s="5">
        <v>3</v>
      </c>
      <c r="C28" s="5">
        <v>0.5</v>
      </c>
      <c r="D28" s="5" t="s">
        <v>44</v>
      </c>
      <c r="E28" s="5"/>
      <c r="F28" s="5">
        <v>1</v>
      </c>
      <c r="G28" s="5">
        <f t="shared" si="1"/>
        <v>0</v>
      </c>
      <c r="H28" s="5" t="str">
        <f>IF(G28=1,SUM($G$4:G28),"")</f>
        <v/>
      </c>
      <c r="I28" s="5" t="str">
        <f t="shared" si="0"/>
        <v/>
      </c>
    </row>
    <row r="29" spans="1:9" x14ac:dyDescent="0.2">
      <c r="A29" s="5">
        <v>26</v>
      </c>
      <c r="B29" s="5">
        <v>3</v>
      </c>
      <c r="C29" s="5">
        <v>0.5</v>
      </c>
      <c r="D29" s="5" t="s">
        <v>43</v>
      </c>
      <c r="E29" s="5"/>
      <c r="F29" s="5">
        <v>0</v>
      </c>
      <c r="G29" s="5">
        <f t="shared" si="1"/>
        <v>1</v>
      </c>
      <c r="H29" s="5">
        <f>IF(G29=1,SUM($G$4:G29),"")</f>
        <v>4</v>
      </c>
      <c r="I29" s="5">
        <f t="shared" si="0"/>
        <v>3</v>
      </c>
    </row>
    <row r="30" spans="1:9" x14ac:dyDescent="0.2">
      <c r="A30" s="5">
        <v>27</v>
      </c>
      <c r="B30" s="5">
        <v>3.5</v>
      </c>
      <c r="C30" s="5">
        <v>0.5</v>
      </c>
      <c r="D30" s="5" t="s">
        <v>44</v>
      </c>
      <c r="E30" s="5"/>
      <c r="F30" s="5">
        <v>1</v>
      </c>
      <c r="G30" s="5">
        <f t="shared" si="1"/>
        <v>0</v>
      </c>
      <c r="H30" s="5" t="str">
        <f>IF(G30=1,SUM($G$4:G30),"")</f>
        <v/>
      </c>
      <c r="I30" s="5" t="str">
        <f t="shared" si="0"/>
        <v/>
      </c>
    </row>
    <row r="31" spans="1:9" x14ac:dyDescent="0.2">
      <c r="A31" s="5">
        <v>28</v>
      </c>
      <c r="B31" s="5">
        <v>3.5</v>
      </c>
      <c r="C31" s="5">
        <v>0.5</v>
      </c>
      <c r="D31" s="5" t="s">
        <v>43</v>
      </c>
      <c r="E31" s="5"/>
      <c r="F31" s="5">
        <v>1</v>
      </c>
      <c r="G31" s="5">
        <f t="shared" si="1"/>
        <v>0</v>
      </c>
      <c r="H31" s="5" t="str">
        <f>IF(G31=1,SUM($G$4:G31),"")</f>
        <v/>
      </c>
      <c r="I31" s="5" t="str">
        <f t="shared" si="0"/>
        <v/>
      </c>
    </row>
    <row r="32" spans="1:9" x14ac:dyDescent="0.2">
      <c r="A32" s="5">
        <v>29</v>
      </c>
      <c r="B32" s="5">
        <v>3.5</v>
      </c>
      <c r="C32" s="5">
        <v>0.5</v>
      </c>
      <c r="D32" s="5" t="s">
        <v>43</v>
      </c>
      <c r="E32" s="5"/>
      <c r="F32" s="5">
        <v>1</v>
      </c>
      <c r="G32" s="5">
        <f t="shared" si="1"/>
        <v>0</v>
      </c>
      <c r="H32" s="5" t="str">
        <f>IF(G32=1,SUM($G$4:G32),"")</f>
        <v/>
      </c>
      <c r="I32" s="5" t="str">
        <f t="shared" si="0"/>
        <v/>
      </c>
    </row>
    <row r="33" spans="1:9" x14ac:dyDescent="0.2">
      <c r="A33" s="5">
        <v>30</v>
      </c>
      <c r="B33" s="5">
        <v>3</v>
      </c>
      <c r="C33" s="5">
        <v>0.5</v>
      </c>
      <c r="D33" s="5" t="s">
        <v>44</v>
      </c>
      <c r="E33" s="5"/>
      <c r="F33" s="5">
        <v>1</v>
      </c>
      <c r="G33" s="5">
        <f t="shared" si="1"/>
        <v>0</v>
      </c>
      <c r="H33" s="5" t="str">
        <f>IF(G33=1,SUM($G$4:G33),"")</f>
        <v/>
      </c>
      <c r="I33" s="5" t="str">
        <f t="shared" si="0"/>
        <v/>
      </c>
    </row>
    <row r="34" spans="1:9" x14ac:dyDescent="0.2">
      <c r="A34" s="5">
        <v>31</v>
      </c>
      <c r="B34" s="5">
        <v>3</v>
      </c>
      <c r="C34" s="5">
        <v>0.5</v>
      </c>
      <c r="D34" s="5" t="s">
        <v>44</v>
      </c>
      <c r="E34" s="5"/>
      <c r="F34" s="5">
        <v>1</v>
      </c>
      <c r="G34" s="5">
        <f t="shared" si="1"/>
        <v>0</v>
      </c>
      <c r="H34" s="5" t="str">
        <f>IF(G34=1,SUM($G$4:G34),"")</f>
        <v/>
      </c>
      <c r="I34" s="5" t="str">
        <f t="shared" si="0"/>
        <v/>
      </c>
    </row>
    <row r="35" spans="1:9" x14ac:dyDescent="0.2">
      <c r="A35" s="5">
        <v>32</v>
      </c>
      <c r="B35" s="5">
        <v>3</v>
      </c>
      <c r="C35" s="5">
        <v>0.5</v>
      </c>
      <c r="D35" s="5" t="s">
        <v>44</v>
      </c>
      <c r="E35" s="5"/>
      <c r="F35" s="5">
        <v>1</v>
      </c>
      <c r="G35" s="5">
        <f t="shared" si="1"/>
        <v>0</v>
      </c>
      <c r="H35" s="5" t="str">
        <f>IF(G35=1,SUM($G$4:G35),"")</f>
        <v/>
      </c>
      <c r="I35" s="5" t="str">
        <f t="shared" si="0"/>
        <v/>
      </c>
    </row>
    <row r="36" spans="1:9" x14ac:dyDescent="0.2">
      <c r="A36" s="5">
        <v>33</v>
      </c>
      <c r="B36" s="5">
        <v>2.5</v>
      </c>
      <c r="C36" s="5">
        <v>0.5</v>
      </c>
      <c r="D36" s="5" t="s">
        <v>43</v>
      </c>
      <c r="E36" s="5"/>
      <c r="F36" s="5">
        <v>1</v>
      </c>
      <c r="G36" s="5">
        <f t="shared" si="1"/>
        <v>0</v>
      </c>
      <c r="H36" s="5" t="str">
        <f>IF(G36=1,SUM($G$4:G36),"")</f>
        <v/>
      </c>
      <c r="I36" s="5" t="str">
        <f t="shared" ref="I36:I67" si="2">IF(G36=1,B36,"")</f>
        <v/>
      </c>
    </row>
    <row r="37" spans="1:9" x14ac:dyDescent="0.2">
      <c r="A37" s="5">
        <v>34</v>
      </c>
      <c r="B37" s="5">
        <v>2.5</v>
      </c>
      <c r="C37" s="5">
        <v>0.5</v>
      </c>
      <c r="D37" s="5" t="s">
        <v>43</v>
      </c>
      <c r="E37" s="5"/>
      <c r="F37" s="5">
        <v>1</v>
      </c>
      <c r="G37" s="5">
        <f t="shared" ref="G37:G68" si="3">IF(AND(F36=1,F37=0),1,0)</f>
        <v>0</v>
      </c>
      <c r="H37" s="5" t="str">
        <f>IF(G37=1,SUM($G$4:G37),"")</f>
        <v/>
      </c>
      <c r="I37" s="5" t="str">
        <f t="shared" si="2"/>
        <v/>
      </c>
    </row>
    <row r="38" spans="1:9" x14ac:dyDescent="0.2">
      <c r="A38" s="5">
        <v>35</v>
      </c>
      <c r="B38" s="5">
        <v>2.5</v>
      </c>
      <c r="C38" s="5">
        <v>0.5</v>
      </c>
      <c r="D38" s="5" t="s">
        <v>43</v>
      </c>
      <c r="E38" s="5"/>
      <c r="F38" s="5">
        <v>1</v>
      </c>
      <c r="G38" s="5">
        <f t="shared" si="3"/>
        <v>0</v>
      </c>
      <c r="H38" s="5" t="str">
        <f>IF(G38=1,SUM($G$4:G38),"")</f>
        <v/>
      </c>
      <c r="I38" s="5" t="str">
        <f t="shared" si="2"/>
        <v/>
      </c>
    </row>
    <row r="39" spans="1:9" x14ac:dyDescent="0.2">
      <c r="A39" s="5">
        <v>36</v>
      </c>
      <c r="B39" s="5">
        <v>2</v>
      </c>
      <c r="C39" s="5">
        <v>0.5</v>
      </c>
      <c r="D39" s="5" t="s">
        <v>43</v>
      </c>
      <c r="E39" s="5"/>
      <c r="F39" s="5">
        <v>1</v>
      </c>
      <c r="G39" s="5">
        <f t="shared" si="3"/>
        <v>0</v>
      </c>
      <c r="H39" s="5" t="str">
        <f>IF(G39=1,SUM($G$4:G39),"")</f>
        <v/>
      </c>
      <c r="I39" s="5" t="str">
        <f t="shared" si="2"/>
        <v/>
      </c>
    </row>
    <row r="40" spans="1:9" x14ac:dyDescent="0.2">
      <c r="A40" s="5">
        <v>37</v>
      </c>
      <c r="B40" s="5">
        <v>2</v>
      </c>
      <c r="C40" s="5">
        <v>0.5</v>
      </c>
      <c r="D40" s="5" t="s">
        <v>44</v>
      </c>
      <c r="E40" s="5"/>
      <c r="F40" s="5">
        <v>0</v>
      </c>
      <c r="G40" s="5">
        <f t="shared" si="3"/>
        <v>1</v>
      </c>
      <c r="H40" s="5">
        <f>IF(G40=1,SUM($G$4:G40),"")</f>
        <v>5</v>
      </c>
      <c r="I40" s="5">
        <f t="shared" si="2"/>
        <v>2</v>
      </c>
    </row>
    <row r="41" spans="1:9" x14ac:dyDescent="0.2">
      <c r="A41" s="5">
        <v>38</v>
      </c>
      <c r="B41" s="5">
        <v>2.5</v>
      </c>
      <c r="C41" s="5">
        <v>0.5</v>
      </c>
      <c r="D41" s="5" t="s">
        <v>43</v>
      </c>
      <c r="E41" s="5"/>
      <c r="F41" s="5">
        <v>1</v>
      </c>
      <c r="G41" s="5">
        <f t="shared" si="3"/>
        <v>0</v>
      </c>
      <c r="H41" s="5" t="str">
        <f>IF(G41=1,SUM($G$4:G41),"")</f>
        <v/>
      </c>
      <c r="I41" s="5" t="str">
        <f t="shared" si="2"/>
        <v/>
      </c>
    </row>
    <row r="42" spans="1:9" x14ac:dyDescent="0.2">
      <c r="A42" s="5">
        <v>39</v>
      </c>
      <c r="B42" s="5">
        <v>2.5</v>
      </c>
      <c r="C42" s="5">
        <v>0.5</v>
      </c>
      <c r="D42" s="5" t="s">
        <v>44</v>
      </c>
      <c r="E42" s="5"/>
      <c r="F42" s="5">
        <v>1</v>
      </c>
      <c r="G42" s="5">
        <f t="shared" si="3"/>
        <v>0</v>
      </c>
      <c r="H42" s="5" t="str">
        <f>IF(G42=1,SUM($G$4:G42),"")</f>
        <v/>
      </c>
      <c r="I42" s="5" t="str">
        <f t="shared" si="2"/>
        <v/>
      </c>
    </row>
    <row r="43" spans="1:9" x14ac:dyDescent="0.2">
      <c r="A43" s="5">
        <v>40</v>
      </c>
      <c r="B43" s="5">
        <v>2.5</v>
      </c>
      <c r="C43" s="5">
        <v>0.5</v>
      </c>
      <c r="D43" s="5" t="s">
        <v>44</v>
      </c>
      <c r="E43" s="5"/>
      <c r="F43" s="5">
        <v>1</v>
      </c>
      <c r="G43" s="5">
        <f t="shared" si="3"/>
        <v>0</v>
      </c>
      <c r="H43" s="5" t="str">
        <f>IF(G43=1,SUM($G$4:G43),"")</f>
        <v/>
      </c>
      <c r="I43" s="5" t="str">
        <f t="shared" si="2"/>
        <v/>
      </c>
    </row>
    <row r="44" spans="1:9" x14ac:dyDescent="0.2">
      <c r="A44" s="5">
        <v>41</v>
      </c>
      <c r="B44" s="5">
        <v>2</v>
      </c>
      <c r="C44" s="5">
        <v>0.5</v>
      </c>
      <c r="D44" s="5" t="s">
        <v>43</v>
      </c>
      <c r="E44" s="5"/>
      <c r="F44" s="5">
        <v>1</v>
      </c>
      <c r="G44" s="5">
        <f t="shared" si="3"/>
        <v>0</v>
      </c>
      <c r="H44" s="5" t="str">
        <f>IF(G44=1,SUM($G$4:G44),"")</f>
        <v/>
      </c>
      <c r="I44" s="5" t="str">
        <f t="shared" si="2"/>
        <v/>
      </c>
    </row>
    <row r="45" spans="1:9" x14ac:dyDescent="0.2">
      <c r="A45" s="5">
        <v>42</v>
      </c>
      <c r="B45" s="5">
        <v>2</v>
      </c>
      <c r="C45" s="5">
        <v>0.5</v>
      </c>
      <c r="D45" s="5" t="s">
        <v>44</v>
      </c>
      <c r="E45" s="5"/>
      <c r="F45" s="5">
        <v>1</v>
      </c>
      <c r="G45" s="5">
        <f t="shared" si="3"/>
        <v>0</v>
      </c>
      <c r="H45" s="5" t="str">
        <f>IF(G45=1,SUM($G$4:G45),"")</f>
        <v/>
      </c>
      <c r="I45" s="5" t="str">
        <f t="shared" si="2"/>
        <v/>
      </c>
    </row>
    <row r="46" spans="1:9" x14ac:dyDescent="0.2">
      <c r="A46" s="5">
        <v>43</v>
      </c>
      <c r="B46" s="5">
        <v>2</v>
      </c>
      <c r="C46" s="5">
        <v>0.5</v>
      </c>
      <c r="D46" s="5" t="s">
        <v>44</v>
      </c>
      <c r="E46" s="5"/>
      <c r="F46" s="5">
        <v>0</v>
      </c>
      <c r="G46" s="5">
        <f t="shared" si="3"/>
        <v>1</v>
      </c>
      <c r="H46" s="5">
        <f>IF(G46=1,SUM($G$4:G46),"")</f>
        <v>6</v>
      </c>
      <c r="I46" s="5">
        <f t="shared" si="2"/>
        <v>2</v>
      </c>
    </row>
    <row r="47" spans="1:9" x14ac:dyDescent="0.2">
      <c r="A47" s="5">
        <v>44</v>
      </c>
      <c r="B47" s="5">
        <v>2.5</v>
      </c>
      <c r="C47" s="5">
        <v>0.5</v>
      </c>
      <c r="D47" s="5" t="s">
        <v>43</v>
      </c>
      <c r="E47" s="5"/>
      <c r="F47" s="5">
        <v>1</v>
      </c>
      <c r="G47" s="5">
        <f t="shared" si="3"/>
        <v>0</v>
      </c>
      <c r="H47" s="5" t="str">
        <f>IF(G47=1,SUM($G$4:G47),"")</f>
        <v/>
      </c>
      <c r="I47" s="5" t="str">
        <f t="shared" si="2"/>
        <v/>
      </c>
    </row>
    <row r="48" spans="1:9" x14ac:dyDescent="0.2">
      <c r="A48" s="5">
        <v>45</v>
      </c>
      <c r="B48" s="5">
        <v>2.5</v>
      </c>
      <c r="C48" s="5">
        <v>0.5</v>
      </c>
      <c r="D48" s="5" t="s">
        <v>43</v>
      </c>
      <c r="E48" s="5"/>
      <c r="F48" s="5">
        <v>1</v>
      </c>
      <c r="G48" s="5">
        <f t="shared" si="3"/>
        <v>0</v>
      </c>
      <c r="H48" s="5" t="str">
        <f>IF(G48=1,SUM($G$4:G48),"")</f>
        <v/>
      </c>
      <c r="I48" s="5" t="str">
        <f t="shared" si="2"/>
        <v/>
      </c>
    </row>
    <row r="49" spans="1:9" x14ac:dyDescent="0.2">
      <c r="A49" s="5">
        <v>46</v>
      </c>
      <c r="B49" s="5">
        <v>2.5</v>
      </c>
      <c r="C49" s="5">
        <v>0.5</v>
      </c>
      <c r="D49" s="5" t="s">
        <v>44</v>
      </c>
      <c r="E49" s="5"/>
      <c r="F49" s="5">
        <v>1</v>
      </c>
      <c r="G49" s="5">
        <f t="shared" si="3"/>
        <v>0</v>
      </c>
      <c r="H49" s="5" t="str">
        <f>IF(G49=1,SUM($G$4:G49),"")</f>
        <v/>
      </c>
      <c r="I49" s="5" t="str">
        <f t="shared" si="2"/>
        <v/>
      </c>
    </row>
    <row r="50" spans="1:9" x14ac:dyDescent="0.2">
      <c r="A50" s="5">
        <v>47</v>
      </c>
      <c r="B50" s="5">
        <v>2</v>
      </c>
      <c r="C50" s="5">
        <v>0.5</v>
      </c>
      <c r="D50" s="5" t="s">
        <v>44</v>
      </c>
      <c r="E50" s="5"/>
      <c r="F50" s="5">
        <v>1</v>
      </c>
      <c r="G50" s="5">
        <f t="shared" si="3"/>
        <v>0</v>
      </c>
      <c r="H50" s="5" t="str">
        <f>IF(G50=1,SUM($G$4:G50),"")</f>
        <v/>
      </c>
      <c r="I50" s="5" t="str">
        <f t="shared" si="2"/>
        <v/>
      </c>
    </row>
    <row r="51" spans="1:9" x14ac:dyDescent="0.2">
      <c r="A51" s="5">
        <v>48</v>
      </c>
      <c r="B51" s="5">
        <v>2</v>
      </c>
      <c r="C51" s="5">
        <v>0.5</v>
      </c>
      <c r="D51" s="5" t="s">
        <v>44</v>
      </c>
      <c r="E51" s="5"/>
      <c r="F51" s="5">
        <v>0</v>
      </c>
      <c r="G51" s="5">
        <f t="shared" si="3"/>
        <v>1</v>
      </c>
      <c r="H51" s="5">
        <f>IF(G51=1,SUM($G$4:G51),"")</f>
        <v>7</v>
      </c>
      <c r="I51" s="5">
        <f t="shared" si="2"/>
        <v>2</v>
      </c>
    </row>
    <row r="52" spans="1:9" x14ac:dyDescent="0.2">
      <c r="A52" s="5">
        <v>49</v>
      </c>
      <c r="B52" s="5">
        <v>2.5</v>
      </c>
      <c r="C52" s="5">
        <v>0.5</v>
      </c>
      <c r="D52" s="5" t="s">
        <v>43</v>
      </c>
      <c r="E52" s="5"/>
      <c r="F52" s="5">
        <v>1</v>
      </c>
      <c r="G52" s="5">
        <f t="shared" si="3"/>
        <v>0</v>
      </c>
      <c r="H52" s="5" t="str">
        <f>IF(G52=1,SUM($G$4:G52),"")</f>
        <v/>
      </c>
      <c r="I52" s="5" t="str">
        <f t="shared" si="2"/>
        <v/>
      </c>
    </row>
    <row r="53" spans="1:9" x14ac:dyDescent="0.2">
      <c r="A53" s="5">
        <v>50</v>
      </c>
      <c r="B53" s="5">
        <v>2.5</v>
      </c>
      <c r="C53" s="5">
        <v>0.5</v>
      </c>
      <c r="D53" s="5" t="s">
        <v>44</v>
      </c>
      <c r="E53" s="5"/>
      <c r="F53" s="5">
        <v>1</v>
      </c>
      <c r="G53" s="5">
        <f t="shared" si="3"/>
        <v>0</v>
      </c>
      <c r="H53" s="5" t="str">
        <f>IF(G53=1,SUM($G$4:G53),"")</f>
        <v/>
      </c>
      <c r="I53" s="5" t="str">
        <f t="shared" si="2"/>
        <v/>
      </c>
    </row>
    <row r="54" spans="1:9" x14ac:dyDescent="0.2">
      <c r="A54" s="5">
        <v>51</v>
      </c>
      <c r="B54" s="5">
        <v>2.5</v>
      </c>
      <c r="C54" s="5">
        <v>0.5</v>
      </c>
      <c r="D54" s="5" t="s">
        <v>43</v>
      </c>
      <c r="E54" s="5"/>
      <c r="F54" s="5">
        <v>1</v>
      </c>
      <c r="G54" s="5">
        <f t="shared" si="3"/>
        <v>0</v>
      </c>
      <c r="H54" s="5" t="str">
        <f>IF(G54=1,SUM($G$4:G54),"")</f>
        <v/>
      </c>
      <c r="I54" s="5" t="str">
        <f t="shared" si="2"/>
        <v/>
      </c>
    </row>
    <row r="55" spans="1:9" x14ac:dyDescent="0.2">
      <c r="A55" s="5">
        <v>52</v>
      </c>
      <c r="B55" s="5">
        <v>2</v>
      </c>
      <c r="C55" s="5">
        <v>0.5</v>
      </c>
      <c r="D55" s="5" t="s">
        <v>44</v>
      </c>
      <c r="E55" s="5"/>
      <c r="F55" s="5">
        <v>1</v>
      </c>
      <c r="G55" s="5">
        <f t="shared" si="3"/>
        <v>0</v>
      </c>
      <c r="H55" s="5" t="str">
        <f>IF(G55=1,SUM($G$4:G55),"")</f>
        <v/>
      </c>
      <c r="I55" s="5" t="str">
        <f t="shared" si="2"/>
        <v/>
      </c>
    </row>
    <row r="56" spans="1:9" x14ac:dyDescent="0.2">
      <c r="A56" s="5">
        <v>53</v>
      </c>
      <c r="B56" s="5">
        <v>2</v>
      </c>
      <c r="C56" s="5">
        <v>0.5</v>
      </c>
      <c r="D56" s="5" t="s">
        <v>43</v>
      </c>
      <c r="E56" s="5"/>
      <c r="F56" s="5">
        <v>1</v>
      </c>
      <c r="G56" s="5">
        <f t="shared" si="3"/>
        <v>0</v>
      </c>
      <c r="H56" s="5" t="str">
        <f>IF(G56=1,SUM($G$4:G56),"")</f>
        <v/>
      </c>
      <c r="I56" s="5" t="str">
        <f t="shared" si="2"/>
        <v/>
      </c>
    </row>
    <row r="57" spans="1:9" x14ac:dyDescent="0.2">
      <c r="A57" s="5">
        <v>54</v>
      </c>
      <c r="B57" s="5">
        <v>2</v>
      </c>
      <c r="C57" s="5">
        <v>0.5</v>
      </c>
      <c r="D57" s="5" t="s">
        <v>44</v>
      </c>
      <c r="E57" s="5"/>
      <c r="F57" s="5">
        <v>1</v>
      </c>
      <c r="G57" s="5">
        <f t="shared" si="3"/>
        <v>0</v>
      </c>
      <c r="H57" s="5" t="str">
        <f>IF(G57=1,SUM($G$4:G57),"")</f>
        <v/>
      </c>
      <c r="I57" s="5" t="str">
        <f t="shared" si="2"/>
        <v/>
      </c>
    </row>
    <row r="58" spans="1:9" x14ac:dyDescent="0.2">
      <c r="A58" s="5">
        <v>55</v>
      </c>
      <c r="B58" s="5">
        <v>1.5</v>
      </c>
      <c r="C58" s="5">
        <v>0.5</v>
      </c>
      <c r="D58" s="5" t="s">
        <v>44</v>
      </c>
      <c r="E58" s="5"/>
      <c r="F58" s="5">
        <v>0</v>
      </c>
      <c r="G58" s="5">
        <f t="shared" si="3"/>
        <v>1</v>
      </c>
      <c r="H58" s="5">
        <f>IF(G58=1,SUM($G$4:G58),"")</f>
        <v>8</v>
      </c>
      <c r="I58" s="5">
        <f t="shared" si="2"/>
        <v>1.5</v>
      </c>
    </row>
    <row r="59" spans="1:9" x14ac:dyDescent="0.2">
      <c r="A59" s="5">
        <v>56</v>
      </c>
      <c r="B59" s="5">
        <v>2</v>
      </c>
      <c r="C59" s="5">
        <v>0.5</v>
      </c>
      <c r="D59" s="5" t="s">
        <v>43</v>
      </c>
      <c r="E59" s="5"/>
      <c r="F59" s="5">
        <v>1</v>
      </c>
      <c r="G59" s="5">
        <f t="shared" si="3"/>
        <v>0</v>
      </c>
      <c r="H59" s="5" t="str">
        <f>IF(G59=1,SUM($G$4:G59),"")</f>
        <v/>
      </c>
      <c r="I59" s="5" t="str">
        <f t="shared" si="2"/>
        <v/>
      </c>
    </row>
    <row r="60" spans="1:9" x14ac:dyDescent="0.2">
      <c r="A60" s="5">
        <v>57</v>
      </c>
      <c r="B60" s="5">
        <v>2</v>
      </c>
      <c r="C60" s="5">
        <v>0.5</v>
      </c>
      <c r="D60" s="5" t="s">
        <v>43</v>
      </c>
      <c r="E60" s="5"/>
      <c r="F60" s="5">
        <v>1</v>
      </c>
      <c r="G60" s="5">
        <f t="shared" si="3"/>
        <v>0</v>
      </c>
      <c r="H60" s="5" t="str">
        <f>IF(G60=1,SUM($G$4:G60),"")</f>
        <v/>
      </c>
      <c r="I60" s="5" t="str">
        <f t="shared" si="2"/>
        <v/>
      </c>
    </row>
    <row r="61" spans="1:9" x14ac:dyDescent="0.2">
      <c r="A61" s="5">
        <v>58</v>
      </c>
      <c r="B61" s="5">
        <v>2</v>
      </c>
      <c r="C61" s="5">
        <v>0.5</v>
      </c>
      <c r="D61" s="5" t="s">
        <v>43</v>
      </c>
      <c r="E61" s="5"/>
      <c r="F61" s="5">
        <v>1</v>
      </c>
      <c r="G61" s="5">
        <f t="shared" si="3"/>
        <v>0</v>
      </c>
      <c r="H61" s="5" t="str">
        <f>IF(G61=1,SUM($G$4:G61),"")</f>
        <v/>
      </c>
      <c r="I61" s="5" t="str">
        <f t="shared" si="2"/>
        <v/>
      </c>
    </row>
    <row r="62" spans="1:9" x14ac:dyDescent="0.2">
      <c r="A62" s="5">
        <v>59</v>
      </c>
      <c r="B62" s="5">
        <v>1.5</v>
      </c>
      <c r="C62" s="5">
        <v>0.5</v>
      </c>
      <c r="D62" s="5" t="s">
        <v>43</v>
      </c>
      <c r="E62" s="5"/>
      <c r="F62" s="5">
        <v>1</v>
      </c>
      <c r="G62" s="5">
        <f t="shared" si="3"/>
        <v>0</v>
      </c>
      <c r="H62" s="5" t="str">
        <f>IF(G62=1,SUM($G$4:G62),"")</f>
        <v/>
      </c>
      <c r="I62" s="5" t="str">
        <f t="shared" si="2"/>
        <v/>
      </c>
    </row>
    <row r="63" spans="1:9" x14ac:dyDescent="0.2">
      <c r="A63" s="5">
        <v>60</v>
      </c>
      <c r="B63" s="5">
        <v>1.5</v>
      </c>
      <c r="C63" s="5">
        <v>0.5</v>
      </c>
      <c r="D63" s="5" t="s">
        <v>43</v>
      </c>
      <c r="E63" s="5"/>
      <c r="F63" s="5">
        <v>1</v>
      </c>
      <c r="G63" s="5">
        <f t="shared" si="3"/>
        <v>0</v>
      </c>
      <c r="H63" s="5" t="str">
        <f>IF(G63=1,SUM($G$4:G63),"")</f>
        <v/>
      </c>
      <c r="I63" s="5" t="str">
        <f t="shared" si="2"/>
        <v/>
      </c>
    </row>
    <row r="64" spans="1:9" x14ac:dyDescent="0.2">
      <c r="A64" s="5">
        <v>61</v>
      </c>
      <c r="B64" s="5">
        <v>1.5</v>
      </c>
      <c r="C64" s="5">
        <v>0.5</v>
      </c>
      <c r="D64" s="5" t="s">
        <v>43</v>
      </c>
      <c r="E64" s="5"/>
      <c r="F64" s="5">
        <v>1</v>
      </c>
      <c r="G64" s="5">
        <f t="shared" si="3"/>
        <v>0</v>
      </c>
      <c r="H64" s="5" t="str">
        <f>IF(G64=1,SUM($G$4:G64),"")</f>
        <v/>
      </c>
      <c r="I64" s="5" t="str">
        <f t="shared" si="2"/>
        <v/>
      </c>
    </row>
    <row r="65" spans="1:9" x14ac:dyDescent="0.2">
      <c r="A65" s="5">
        <v>62</v>
      </c>
      <c r="B65" s="5">
        <v>1</v>
      </c>
      <c r="C65" s="5">
        <v>0.5</v>
      </c>
      <c r="D65" s="5" t="s">
        <v>44</v>
      </c>
      <c r="E65" s="5"/>
      <c r="F65" s="5">
        <v>0</v>
      </c>
      <c r="G65" s="5">
        <f t="shared" si="3"/>
        <v>1</v>
      </c>
      <c r="H65" s="5">
        <f>IF(G65=1,SUM($G$4:G65),"")</f>
        <v>9</v>
      </c>
      <c r="I65" s="5">
        <f t="shared" si="2"/>
        <v>1</v>
      </c>
    </row>
    <row r="66" spans="1:9" x14ac:dyDescent="0.2">
      <c r="A66" s="5">
        <v>63</v>
      </c>
      <c r="B66" s="5">
        <v>1.5</v>
      </c>
      <c r="C66" s="5">
        <v>0.5</v>
      </c>
      <c r="D66" s="5" t="s">
        <v>43</v>
      </c>
      <c r="E66" s="5"/>
      <c r="F66" s="5">
        <v>1</v>
      </c>
      <c r="G66" s="5">
        <f t="shared" si="3"/>
        <v>0</v>
      </c>
      <c r="H66" s="5" t="str">
        <f>IF(G66=1,SUM($G$4:G66),"")</f>
        <v/>
      </c>
      <c r="I66" s="5" t="str">
        <f t="shared" si="2"/>
        <v/>
      </c>
    </row>
    <row r="67" spans="1:9" x14ac:dyDescent="0.2">
      <c r="A67" s="5">
        <v>64</v>
      </c>
      <c r="B67" s="5">
        <v>1.5</v>
      </c>
      <c r="C67" s="5">
        <v>0.5</v>
      </c>
      <c r="D67" s="5" t="s">
        <v>44</v>
      </c>
      <c r="E67" s="5"/>
      <c r="F67" s="5">
        <v>1</v>
      </c>
      <c r="G67" s="5">
        <f t="shared" si="3"/>
        <v>0</v>
      </c>
      <c r="H67" s="5" t="str">
        <f>IF(G67=1,SUM($G$4:G67),"")</f>
        <v/>
      </c>
      <c r="I67" s="5" t="str">
        <f t="shared" si="2"/>
        <v/>
      </c>
    </row>
    <row r="68" spans="1:9" x14ac:dyDescent="0.2">
      <c r="A68" s="5">
        <v>65</v>
      </c>
      <c r="B68" s="5">
        <v>1.5</v>
      </c>
      <c r="C68" s="5">
        <v>0.5</v>
      </c>
      <c r="D68" s="5" t="s">
        <v>43</v>
      </c>
      <c r="E68" s="5"/>
      <c r="F68" s="5">
        <v>1</v>
      </c>
      <c r="G68" s="5">
        <f t="shared" si="3"/>
        <v>0</v>
      </c>
      <c r="H68" s="5" t="str">
        <f>IF(G68=1,SUM($G$4:G68),"")</f>
        <v/>
      </c>
      <c r="I68" s="5" t="str">
        <f t="shared" ref="I68:I103" si="4">IF(G68=1,B68,"")</f>
        <v/>
      </c>
    </row>
    <row r="69" spans="1:9" x14ac:dyDescent="0.2">
      <c r="A69" s="5">
        <v>66</v>
      </c>
      <c r="B69" s="5">
        <v>1</v>
      </c>
      <c r="C69" s="5">
        <v>0.5</v>
      </c>
      <c r="D69" s="5" t="s">
        <v>43</v>
      </c>
      <c r="E69" s="5"/>
      <c r="F69" s="5">
        <v>1</v>
      </c>
      <c r="G69" s="5">
        <f t="shared" ref="G69:G100" si="5">IF(AND(F68=1,F69=0),1,0)</f>
        <v>0</v>
      </c>
      <c r="H69" s="5" t="str">
        <f>IF(G69=1,SUM($G$4:G69),"")</f>
        <v/>
      </c>
      <c r="I69" s="5" t="str">
        <f t="shared" si="4"/>
        <v/>
      </c>
    </row>
    <row r="70" spans="1:9" x14ac:dyDescent="0.2">
      <c r="A70" s="5">
        <v>67</v>
      </c>
      <c r="B70" s="5">
        <v>1</v>
      </c>
      <c r="C70" s="5">
        <v>0.5</v>
      </c>
      <c r="D70" s="5" t="s">
        <v>43</v>
      </c>
      <c r="E70" s="5"/>
      <c r="F70" s="5">
        <v>1</v>
      </c>
      <c r="G70" s="5">
        <f t="shared" si="5"/>
        <v>0</v>
      </c>
      <c r="H70" s="5" t="str">
        <f>IF(G70=1,SUM($G$4:G70),"")</f>
        <v/>
      </c>
      <c r="I70" s="5" t="str">
        <f t="shared" si="4"/>
        <v/>
      </c>
    </row>
    <row r="71" spans="1:9" x14ac:dyDescent="0.2">
      <c r="A71" s="5">
        <v>68</v>
      </c>
      <c r="B71" s="5">
        <v>1</v>
      </c>
      <c r="C71" s="5">
        <v>0.5</v>
      </c>
      <c r="D71" s="5" t="s">
        <v>44</v>
      </c>
      <c r="E71" s="5"/>
      <c r="F71" s="5">
        <v>0</v>
      </c>
      <c r="G71" s="5">
        <f t="shared" si="5"/>
        <v>1</v>
      </c>
      <c r="H71" s="5">
        <f>IF(G71=1,SUM($G$4:G71),"")</f>
        <v>10</v>
      </c>
      <c r="I71" s="5">
        <f t="shared" si="4"/>
        <v>1</v>
      </c>
    </row>
    <row r="72" spans="1:9" x14ac:dyDescent="0.2">
      <c r="A72" s="5">
        <v>69</v>
      </c>
      <c r="B72" s="5">
        <v>1.5</v>
      </c>
      <c r="C72" s="5">
        <v>0.5</v>
      </c>
      <c r="D72" s="5" t="s">
        <v>44</v>
      </c>
      <c r="E72" s="5"/>
      <c r="F72" s="5">
        <v>0</v>
      </c>
      <c r="G72" s="5">
        <f t="shared" si="5"/>
        <v>0</v>
      </c>
      <c r="H72" s="5" t="str">
        <f>IF(G72=1,SUM($G$4:G72),"")</f>
        <v/>
      </c>
      <c r="I72" s="5" t="str">
        <f t="shared" si="4"/>
        <v/>
      </c>
    </row>
    <row r="73" spans="1:9" x14ac:dyDescent="0.2">
      <c r="A73" s="5">
        <v>70</v>
      </c>
      <c r="B73" s="5">
        <v>2</v>
      </c>
      <c r="C73" s="5">
        <v>0.5</v>
      </c>
      <c r="D73" s="5" t="s">
        <v>44</v>
      </c>
      <c r="E73" s="5"/>
      <c r="F73" s="5">
        <v>0</v>
      </c>
      <c r="G73" s="5">
        <f t="shared" si="5"/>
        <v>0</v>
      </c>
      <c r="H73" s="5" t="str">
        <f>IF(G73=1,SUM($G$4:G73),"")</f>
        <v/>
      </c>
      <c r="I73" s="5" t="str">
        <f t="shared" si="4"/>
        <v/>
      </c>
    </row>
    <row r="74" spans="1:9" x14ac:dyDescent="0.2">
      <c r="A74" s="5">
        <v>71</v>
      </c>
      <c r="B74" s="5">
        <v>2.5</v>
      </c>
      <c r="C74" s="5">
        <v>0.5</v>
      </c>
      <c r="D74" s="5" t="s">
        <v>44</v>
      </c>
      <c r="E74" s="5"/>
      <c r="F74" s="5">
        <v>0</v>
      </c>
      <c r="G74" s="5">
        <f t="shared" si="5"/>
        <v>0</v>
      </c>
      <c r="H74" s="5" t="str">
        <f>IF(G74=1,SUM($G$4:G74),"")</f>
        <v/>
      </c>
      <c r="I74" s="5" t="str">
        <f t="shared" si="4"/>
        <v/>
      </c>
    </row>
    <row r="75" spans="1:9" x14ac:dyDescent="0.2">
      <c r="A75" s="5">
        <v>72</v>
      </c>
      <c r="B75" s="5">
        <v>3</v>
      </c>
      <c r="C75" s="5">
        <v>0.5</v>
      </c>
      <c r="D75" s="5" t="s">
        <v>43</v>
      </c>
      <c r="E75" s="5"/>
      <c r="F75" s="5">
        <v>1</v>
      </c>
      <c r="G75" s="5">
        <f t="shared" si="5"/>
        <v>0</v>
      </c>
      <c r="H75" s="5" t="str">
        <f>IF(G75=1,SUM($G$4:G75),"")</f>
        <v/>
      </c>
      <c r="I75" s="5" t="str">
        <f t="shared" si="4"/>
        <v/>
      </c>
    </row>
    <row r="76" spans="1:9" x14ac:dyDescent="0.2">
      <c r="A76" s="5">
        <v>73</v>
      </c>
      <c r="B76" s="5">
        <v>3</v>
      </c>
      <c r="C76" s="5">
        <v>0.5</v>
      </c>
      <c r="D76" s="5" t="s">
        <v>44</v>
      </c>
      <c r="E76" s="5"/>
      <c r="F76" s="5">
        <v>0</v>
      </c>
      <c r="G76" s="5">
        <f t="shared" si="5"/>
        <v>1</v>
      </c>
      <c r="H76" s="5">
        <f>IF(G76=1,SUM($G$4:G76),"")</f>
        <v>11</v>
      </c>
      <c r="I76" s="5">
        <f t="shared" si="4"/>
        <v>3</v>
      </c>
    </row>
    <row r="77" spans="1:9" x14ac:dyDescent="0.2">
      <c r="A77" s="5">
        <v>74</v>
      </c>
      <c r="B77" s="5">
        <v>3.5</v>
      </c>
      <c r="C77" s="5">
        <v>0.5</v>
      </c>
      <c r="D77" s="5" t="s">
        <v>44</v>
      </c>
      <c r="E77" s="5"/>
      <c r="F77" s="5">
        <v>0</v>
      </c>
      <c r="G77" s="5">
        <f t="shared" si="5"/>
        <v>0</v>
      </c>
      <c r="H77" s="5" t="str">
        <f>IF(G77=1,SUM($G$4:G77),"")</f>
        <v/>
      </c>
      <c r="I77" s="5" t="str">
        <f t="shared" si="4"/>
        <v/>
      </c>
    </row>
    <row r="78" spans="1:9" x14ac:dyDescent="0.2">
      <c r="A78" s="5">
        <v>75</v>
      </c>
      <c r="B78" s="5">
        <v>4</v>
      </c>
      <c r="C78" s="5">
        <v>0.5</v>
      </c>
      <c r="D78" s="5" t="s">
        <v>43</v>
      </c>
      <c r="E78" s="5"/>
      <c r="F78" s="5">
        <v>1</v>
      </c>
      <c r="G78" s="5">
        <f t="shared" si="5"/>
        <v>0</v>
      </c>
      <c r="H78" s="5" t="str">
        <f>IF(G78=1,SUM($G$4:G78),"")</f>
        <v/>
      </c>
      <c r="I78" s="5" t="str">
        <f t="shared" si="4"/>
        <v/>
      </c>
    </row>
    <row r="79" spans="1:9" x14ac:dyDescent="0.2">
      <c r="A79" s="5">
        <v>76</v>
      </c>
      <c r="B79" s="5">
        <v>4</v>
      </c>
      <c r="C79" s="5">
        <v>0.5</v>
      </c>
      <c r="D79" s="5" t="s">
        <v>43</v>
      </c>
      <c r="E79" s="5"/>
      <c r="F79" s="5">
        <v>1</v>
      </c>
      <c r="G79" s="5">
        <f t="shared" si="5"/>
        <v>0</v>
      </c>
      <c r="H79" s="5" t="str">
        <f>IF(G79=1,SUM($G$4:G79),"")</f>
        <v/>
      </c>
      <c r="I79" s="5" t="str">
        <f t="shared" si="4"/>
        <v/>
      </c>
    </row>
    <row r="80" spans="1:9" x14ac:dyDescent="0.2">
      <c r="A80" s="5">
        <v>77</v>
      </c>
      <c r="B80" s="5">
        <v>4</v>
      </c>
      <c r="C80" s="5">
        <v>0.5</v>
      </c>
      <c r="D80" s="5" t="s">
        <v>43</v>
      </c>
      <c r="E80" s="5"/>
      <c r="F80" s="5">
        <v>1</v>
      </c>
      <c r="G80" s="5">
        <f t="shared" si="5"/>
        <v>0</v>
      </c>
      <c r="H80" s="5" t="str">
        <f>IF(G80=1,SUM($G$4:G80),"")</f>
        <v/>
      </c>
      <c r="I80" s="5" t="str">
        <f t="shared" si="4"/>
        <v/>
      </c>
    </row>
    <row r="81" spans="1:9" x14ac:dyDescent="0.2">
      <c r="A81" s="5">
        <v>78</v>
      </c>
      <c r="B81" s="5">
        <v>3.5</v>
      </c>
      <c r="C81" s="5">
        <v>0.5</v>
      </c>
      <c r="D81" s="5" t="s">
        <v>44</v>
      </c>
      <c r="E81" s="5"/>
      <c r="F81" s="5">
        <v>0</v>
      </c>
      <c r="G81" s="5">
        <f t="shared" si="5"/>
        <v>1</v>
      </c>
      <c r="H81" s="5">
        <f>IF(G81=1,SUM($G$4:G81),"")</f>
        <v>12</v>
      </c>
      <c r="I81" s="5">
        <f t="shared" si="4"/>
        <v>3.5</v>
      </c>
    </row>
    <row r="82" spans="1:9" x14ac:dyDescent="0.2">
      <c r="A82" s="5">
        <v>79</v>
      </c>
      <c r="B82" s="5">
        <v>4</v>
      </c>
      <c r="C82" s="5">
        <v>0.5</v>
      </c>
      <c r="D82" s="5" t="s">
        <v>43</v>
      </c>
      <c r="E82" s="5"/>
      <c r="F82" s="5">
        <v>1</v>
      </c>
      <c r="G82" s="5">
        <f t="shared" si="5"/>
        <v>0</v>
      </c>
      <c r="H82" s="5" t="str">
        <f>IF(G82=1,SUM($G$4:G82),"")</f>
        <v/>
      </c>
      <c r="I82" s="5" t="str">
        <f t="shared" si="4"/>
        <v/>
      </c>
    </row>
    <row r="83" spans="1:9" x14ac:dyDescent="0.2">
      <c r="A83" s="5">
        <v>80</v>
      </c>
      <c r="B83" s="5">
        <v>4</v>
      </c>
      <c r="C83" s="5">
        <v>0.5</v>
      </c>
      <c r="D83" s="5" t="s">
        <v>44</v>
      </c>
      <c r="E83" s="5"/>
      <c r="F83" s="5">
        <v>1</v>
      </c>
      <c r="G83" s="5">
        <f t="shared" si="5"/>
        <v>0</v>
      </c>
      <c r="H83" s="5" t="str">
        <f>IF(G83=1,SUM($G$4:G83),"")</f>
        <v/>
      </c>
      <c r="I83" s="5" t="str">
        <f t="shared" si="4"/>
        <v/>
      </c>
    </row>
    <row r="84" spans="1:9" x14ac:dyDescent="0.2">
      <c r="A84" s="5">
        <v>81</v>
      </c>
      <c r="B84" s="5">
        <v>4</v>
      </c>
      <c r="C84" s="5">
        <v>0.5</v>
      </c>
      <c r="D84" s="5" t="s">
        <v>44</v>
      </c>
      <c r="E84" s="5"/>
      <c r="F84" s="5">
        <v>1</v>
      </c>
      <c r="G84" s="5">
        <f t="shared" si="5"/>
        <v>0</v>
      </c>
      <c r="H84" s="5" t="str">
        <f>IF(G84=1,SUM($G$4:G84),"")</f>
        <v/>
      </c>
      <c r="I84" s="5" t="str">
        <f t="shared" si="4"/>
        <v/>
      </c>
    </row>
    <row r="85" spans="1:9" x14ac:dyDescent="0.2">
      <c r="A85" s="5">
        <v>82</v>
      </c>
      <c r="B85" s="5">
        <v>3.5</v>
      </c>
      <c r="C85" s="5">
        <v>0.5</v>
      </c>
      <c r="D85" s="5" t="s">
        <v>43</v>
      </c>
      <c r="E85" s="5"/>
      <c r="F85" s="5">
        <v>1</v>
      </c>
      <c r="G85" s="5">
        <f t="shared" si="5"/>
        <v>0</v>
      </c>
      <c r="H85" s="5" t="str">
        <f>IF(G85=1,SUM($G$4:G85),"")</f>
        <v/>
      </c>
      <c r="I85" s="5" t="str">
        <f t="shared" si="4"/>
        <v/>
      </c>
    </row>
    <row r="86" spans="1:9" x14ac:dyDescent="0.2">
      <c r="A86" s="5">
        <v>83</v>
      </c>
      <c r="B86" s="5">
        <v>3.5</v>
      </c>
      <c r="C86" s="5">
        <v>0.5</v>
      </c>
      <c r="D86" s="5" t="s">
        <v>44</v>
      </c>
      <c r="E86" s="5"/>
      <c r="F86" s="5">
        <v>1</v>
      </c>
      <c r="G86" s="5">
        <f t="shared" si="5"/>
        <v>0</v>
      </c>
      <c r="H86" s="5" t="str">
        <f>IF(G86=1,SUM($G$4:G86),"")</f>
        <v/>
      </c>
      <c r="I86" s="5" t="str">
        <f t="shared" si="4"/>
        <v/>
      </c>
    </row>
    <row r="87" spans="1:9" x14ac:dyDescent="0.2">
      <c r="A87" s="5">
        <v>84</v>
      </c>
      <c r="B87" s="5">
        <v>3.5</v>
      </c>
      <c r="C87" s="5">
        <v>0.5</v>
      </c>
      <c r="D87" s="5" t="s">
        <v>43</v>
      </c>
      <c r="E87" s="5"/>
      <c r="F87" s="5">
        <v>1</v>
      </c>
      <c r="G87" s="5">
        <f t="shared" si="5"/>
        <v>0</v>
      </c>
      <c r="H87" s="5" t="str">
        <f>IF(G87=1,SUM($G$4:G87),"")</f>
        <v/>
      </c>
      <c r="I87" s="5" t="str">
        <f t="shared" si="4"/>
        <v/>
      </c>
    </row>
    <row r="88" spans="1:9" x14ac:dyDescent="0.2">
      <c r="A88" s="5">
        <v>85</v>
      </c>
      <c r="B88" s="5">
        <v>3</v>
      </c>
      <c r="C88" s="5">
        <v>0.5</v>
      </c>
      <c r="D88" s="5" t="s">
        <v>44</v>
      </c>
      <c r="E88" s="5"/>
      <c r="F88" s="5">
        <v>1</v>
      </c>
      <c r="G88" s="5">
        <f t="shared" si="5"/>
        <v>0</v>
      </c>
      <c r="H88" s="5" t="str">
        <f>IF(G88=1,SUM($G$4:G88),"")</f>
        <v/>
      </c>
      <c r="I88" s="5" t="str">
        <f t="shared" si="4"/>
        <v/>
      </c>
    </row>
    <row r="89" spans="1:9" x14ac:dyDescent="0.2">
      <c r="A89" s="5">
        <v>86</v>
      </c>
      <c r="B89" s="5">
        <v>3</v>
      </c>
      <c r="C89" s="5">
        <v>0.5</v>
      </c>
      <c r="D89" s="5" t="s">
        <v>44</v>
      </c>
      <c r="E89" s="5"/>
      <c r="F89" s="5">
        <v>0</v>
      </c>
      <c r="G89" s="5">
        <f t="shared" si="5"/>
        <v>1</v>
      </c>
      <c r="H89" s="5">
        <f>IF(G89=1,SUM($G$4:G89),"")</f>
        <v>13</v>
      </c>
      <c r="I89" s="5">
        <f t="shared" si="4"/>
        <v>3</v>
      </c>
    </row>
    <row r="90" spans="1:9" x14ac:dyDescent="0.2">
      <c r="A90" s="5">
        <v>87</v>
      </c>
      <c r="B90" s="5">
        <v>3.5</v>
      </c>
      <c r="C90" s="5">
        <v>0.5</v>
      </c>
      <c r="D90" s="5" t="s">
        <v>43</v>
      </c>
      <c r="E90" s="5"/>
      <c r="F90" s="5">
        <v>0</v>
      </c>
      <c r="G90" s="5">
        <f t="shared" si="5"/>
        <v>0</v>
      </c>
      <c r="H90" s="5" t="str">
        <f>IF(G90=1,SUM($G$4:G90),"")</f>
        <v/>
      </c>
      <c r="I90" s="5" t="str">
        <f t="shared" si="4"/>
        <v/>
      </c>
    </row>
    <row r="91" spans="1:9" x14ac:dyDescent="0.2">
      <c r="A91" s="5">
        <v>88</v>
      </c>
      <c r="B91" s="5">
        <v>4</v>
      </c>
      <c r="C91" s="5">
        <v>0.5</v>
      </c>
      <c r="D91" s="5" t="s">
        <v>43</v>
      </c>
      <c r="E91" s="5"/>
      <c r="F91" s="5">
        <v>1</v>
      </c>
      <c r="G91" s="5">
        <f t="shared" si="5"/>
        <v>0</v>
      </c>
      <c r="H91" s="5" t="str">
        <f>IF(G91=1,SUM($G$4:G91),"")</f>
        <v/>
      </c>
      <c r="I91" s="5" t="str">
        <f t="shared" si="4"/>
        <v/>
      </c>
    </row>
    <row r="92" spans="1:9" x14ac:dyDescent="0.2">
      <c r="A92" s="5">
        <v>89</v>
      </c>
      <c r="B92" s="5">
        <v>4</v>
      </c>
      <c r="C92" s="5">
        <v>0.5</v>
      </c>
      <c r="D92" s="5" t="s">
        <v>43</v>
      </c>
      <c r="E92" s="5"/>
      <c r="F92" s="5">
        <v>1</v>
      </c>
      <c r="G92" s="5">
        <f t="shared" si="5"/>
        <v>0</v>
      </c>
      <c r="H92" s="5" t="str">
        <f>IF(G92=1,SUM($G$4:G92),"")</f>
        <v/>
      </c>
      <c r="I92" s="5" t="str">
        <f t="shared" si="4"/>
        <v/>
      </c>
    </row>
    <row r="93" spans="1:9" x14ac:dyDescent="0.2">
      <c r="A93" s="5">
        <v>90</v>
      </c>
      <c r="B93" s="5">
        <v>4</v>
      </c>
      <c r="C93" s="5">
        <v>0.5</v>
      </c>
      <c r="D93" s="5" t="s">
        <v>43</v>
      </c>
      <c r="E93" s="5"/>
      <c r="F93" s="5">
        <v>1</v>
      </c>
      <c r="G93" s="5">
        <f t="shared" si="5"/>
        <v>0</v>
      </c>
      <c r="H93" s="5" t="str">
        <f>IF(G93=1,SUM($G$4:G93),"")</f>
        <v/>
      </c>
      <c r="I93" s="5" t="str">
        <f t="shared" si="4"/>
        <v/>
      </c>
    </row>
    <row r="94" spans="1:9" x14ac:dyDescent="0.2">
      <c r="A94" s="5">
        <v>91</v>
      </c>
      <c r="B94" s="5">
        <v>3.5</v>
      </c>
      <c r="C94" s="5">
        <v>0.5</v>
      </c>
      <c r="D94" s="5" t="s">
        <v>43</v>
      </c>
      <c r="E94" s="5"/>
      <c r="F94" s="5">
        <v>1</v>
      </c>
      <c r="G94" s="5">
        <f t="shared" si="5"/>
        <v>0</v>
      </c>
      <c r="H94" s="5" t="str">
        <f>IF(G94=1,SUM($G$4:G94),"")</f>
        <v/>
      </c>
      <c r="I94" s="5" t="str">
        <f t="shared" si="4"/>
        <v/>
      </c>
    </row>
    <row r="95" spans="1:9" x14ac:dyDescent="0.2">
      <c r="A95" s="5">
        <v>92</v>
      </c>
      <c r="B95" s="5">
        <v>3.5</v>
      </c>
      <c r="C95" s="5">
        <v>0.5</v>
      </c>
      <c r="D95" s="5" t="s">
        <v>43</v>
      </c>
      <c r="E95" s="5"/>
      <c r="F95" s="5">
        <v>1</v>
      </c>
      <c r="G95" s="5">
        <f t="shared" si="5"/>
        <v>0</v>
      </c>
      <c r="H95" s="5" t="str">
        <f>IF(G95=1,SUM($G$4:G95),"")</f>
        <v/>
      </c>
      <c r="I95" s="5" t="str">
        <f t="shared" si="4"/>
        <v/>
      </c>
    </row>
    <row r="96" spans="1:9" x14ac:dyDescent="0.2">
      <c r="A96" s="5">
        <v>93</v>
      </c>
      <c r="B96" s="5">
        <v>3.5</v>
      </c>
      <c r="C96" s="5">
        <v>0.5</v>
      </c>
      <c r="D96" s="5" t="s">
        <v>43</v>
      </c>
      <c r="E96" s="5"/>
      <c r="F96" s="5">
        <v>1</v>
      </c>
      <c r="G96" s="5">
        <f t="shared" si="5"/>
        <v>0</v>
      </c>
      <c r="H96" s="5" t="str">
        <f>IF(G96=1,SUM($G$4:G96),"")</f>
        <v/>
      </c>
      <c r="I96" s="5" t="str">
        <f t="shared" si="4"/>
        <v/>
      </c>
    </row>
    <row r="97" spans="1:9" x14ac:dyDescent="0.2">
      <c r="A97" s="5">
        <v>94</v>
      </c>
      <c r="B97" s="5">
        <v>3</v>
      </c>
      <c r="C97" s="5">
        <v>0.5</v>
      </c>
      <c r="D97" s="5" t="s">
        <v>43</v>
      </c>
      <c r="E97" s="5"/>
      <c r="F97" s="5">
        <v>1</v>
      </c>
      <c r="G97" s="5">
        <f t="shared" si="5"/>
        <v>0</v>
      </c>
      <c r="H97" s="5" t="str">
        <f>IF(G97=1,SUM($G$4:G97),"")</f>
        <v/>
      </c>
      <c r="I97" s="5" t="str">
        <f t="shared" si="4"/>
        <v/>
      </c>
    </row>
    <row r="98" spans="1:9" x14ac:dyDescent="0.2">
      <c r="A98" s="5">
        <v>95</v>
      </c>
      <c r="B98" s="5">
        <v>3</v>
      </c>
      <c r="C98" s="5">
        <v>0.5</v>
      </c>
      <c r="D98" s="5" t="s">
        <v>44</v>
      </c>
      <c r="E98" s="5"/>
      <c r="F98" s="5">
        <v>0</v>
      </c>
      <c r="G98" s="5">
        <f t="shared" si="5"/>
        <v>1</v>
      </c>
      <c r="H98" s="5">
        <f>IF(G98=1,SUM($G$4:G98),"")</f>
        <v>14</v>
      </c>
      <c r="I98" s="5">
        <f t="shared" si="4"/>
        <v>3</v>
      </c>
    </row>
    <row r="99" spans="1:9" x14ac:dyDescent="0.2">
      <c r="A99" s="5">
        <v>96</v>
      </c>
      <c r="B99" s="5">
        <v>3.5</v>
      </c>
      <c r="C99" s="5">
        <v>0.5</v>
      </c>
      <c r="D99" s="5" t="s">
        <v>43</v>
      </c>
      <c r="E99" s="5"/>
      <c r="F99" s="5">
        <v>1</v>
      </c>
      <c r="G99" s="5">
        <f t="shared" si="5"/>
        <v>0</v>
      </c>
      <c r="H99" s="5" t="str">
        <f>IF(G99=1,SUM($G$4:G99),"")</f>
        <v/>
      </c>
      <c r="I99" s="5" t="str">
        <f t="shared" si="4"/>
        <v/>
      </c>
    </row>
    <row r="100" spans="1:9" x14ac:dyDescent="0.2">
      <c r="A100" s="5">
        <v>97</v>
      </c>
      <c r="B100" s="5">
        <v>3.5</v>
      </c>
      <c r="C100" s="5">
        <v>0.5</v>
      </c>
      <c r="D100" s="5" t="s">
        <v>44</v>
      </c>
      <c r="E100" s="5"/>
      <c r="F100" s="5">
        <v>1</v>
      </c>
      <c r="G100" s="5">
        <f t="shared" si="5"/>
        <v>0</v>
      </c>
      <c r="H100" s="5" t="str">
        <f>IF(G100=1,SUM($G$4:G100),"")</f>
        <v/>
      </c>
      <c r="I100" s="5" t="str">
        <f t="shared" si="4"/>
        <v/>
      </c>
    </row>
    <row r="101" spans="1:9" x14ac:dyDescent="0.2">
      <c r="A101" s="5">
        <v>98</v>
      </c>
      <c r="B101" s="5">
        <v>3.5</v>
      </c>
      <c r="C101" s="5">
        <v>0.5</v>
      </c>
      <c r="D101" s="5" t="s">
        <v>43</v>
      </c>
      <c r="E101" s="5"/>
      <c r="F101" s="5">
        <v>1</v>
      </c>
      <c r="G101" s="5">
        <f t="shared" ref="G101:G132" si="6">IF(AND(F100=1,F101=0),1,0)</f>
        <v>0</v>
      </c>
      <c r="H101" s="5" t="str">
        <f>IF(G101=1,SUM($G$4:G101),"")</f>
        <v/>
      </c>
      <c r="I101" s="5" t="str">
        <f t="shared" si="4"/>
        <v/>
      </c>
    </row>
    <row r="102" spans="1:9" x14ac:dyDescent="0.2">
      <c r="A102" s="5">
        <v>99</v>
      </c>
      <c r="B102" s="5">
        <v>3</v>
      </c>
      <c r="C102" s="5">
        <v>0.5</v>
      </c>
      <c r="D102" s="5" t="s">
        <v>43</v>
      </c>
      <c r="E102" s="5"/>
      <c r="F102" s="5">
        <v>1</v>
      </c>
      <c r="G102" s="5">
        <f t="shared" si="6"/>
        <v>0</v>
      </c>
      <c r="H102" s="5" t="str">
        <f>IF(G102=1,SUM($G$4:G102),"")</f>
        <v/>
      </c>
      <c r="I102" s="5" t="str">
        <f t="shared" si="4"/>
        <v/>
      </c>
    </row>
    <row r="103" spans="1:9" x14ac:dyDescent="0.2">
      <c r="A103" s="5">
        <v>100</v>
      </c>
      <c r="B103" s="5">
        <v>3</v>
      </c>
      <c r="C103" s="5">
        <v>0.5</v>
      </c>
      <c r="D103" s="5" t="s">
        <v>43</v>
      </c>
      <c r="E103" s="5"/>
      <c r="F103" s="5">
        <v>1</v>
      </c>
      <c r="G103" s="5">
        <f t="shared" si="6"/>
        <v>0</v>
      </c>
      <c r="H103" s="5" t="str">
        <f>IF(G103=1,SUM($G$4:G103),"")</f>
        <v/>
      </c>
      <c r="I103" s="5" t="str">
        <f t="shared" si="4"/>
        <v/>
      </c>
    </row>
    <row r="106" spans="1:9" x14ac:dyDescent="0.2">
      <c r="A106" s="6" t="s">
        <v>55</v>
      </c>
    </row>
    <row r="107" spans="1:9" x14ac:dyDescent="0.2">
      <c r="A107" s="2" t="s">
        <v>56</v>
      </c>
      <c r="C107" s="2">
        <f>COUNT(A4:A103)</f>
        <v>100</v>
      </c>
    </row>
    <row r="108" spans="1:9" x14ac:dyDescent="0.2">
      <c r="A108" s="2" t="s">
        <v>57</v>
      </c>
      <c r="C108" s="2">
        <f>SUM(G4:G103)</f>
        <v>14</v>
      </c>
    </row>
    <row r="109" spans="1:9" x14ac:dyDescent="0.2">
      <c r="A109" s="2" t="s">
        <v>58</v>
      </c>
      <c r="C109" s="7">
        <f>AVERAGE(F4:F103)</f>
        <v>0.79</v>
      </c>
    </row>
    <row r="110" spans="1:9" x14ac:dyDescent="0.2">
      <c r="A110" s="2" t="s">
        <v>59</v>
      </c>
      <c r="C110" s="2">
        <f>SUM(F4:F103)</f>
        <v>79</v>
      </c>
    </row>
    <row r="111" spans="1:9" x14ac:dyDescent="0.2">
      <c r="A111" s="2" t="s">
        <v>60</v>
      </c>
      <c r="C111" s="8">
        <f>AVERAGE(B4:B103)</f>
        <v>2.94</v>
      </c>
    </row>
    <row r="114" spans="1:4" x14ac:dyDescent="0.2">
      <c r="A114" s="6" t="s">
        <v>61</v>
      </c>
    </row>
    <row r="115" spans="1:4" x14ac:dyDescent="0.2">
      <c r="A115" s="9" t="s">
        <v>53</v>
      </c>
      <c r="B115" s="9" t="s">
        <v>62</v>
      </c>
      <c r="C115" s="9" t="s">
        <v>47</v>
      </c>
    </row>
    <row r="116" spans="1:4" x14ac:dyDescent="0.2">
      <c r="A116" s="5">
        <f>SUM($G$4:$G$103)-4</f>
        <v>10</v>
      </c>
      <c r="B116" s="5">
        <f>INDEX($A$4:$A$103,MATCH(A116,$H$4:$H$103,0))</f>
        <v>68</v>
      </c>
      <c r="C116" s="10">
        <f>INDEX($B$4:$B$103,MATCH(A116,$H$4:$H$103,0))</f>
        <v>1</v>
      </c>
    </row>
    <row r="117" spans="1:4" x14ac:dyDescent="0.2">
      <c r="A117" s="5">
        <f>SUM($G$4:$G$103)-3</f>
        <v>11</v>
      </c>
      <c r="B117" s="5">
        <f>INDEX($A$4:$A$103,MATCH(A117,$H$4:$H$103,0))</f>
        <v>73</v>
      </c>
      <c r="C117" s="10">
        <f>INDEX($B$4:$B$103,MATCH(A117,$H$4:$H$103,0))</f>
        <v>3</v>
      </c>
    </row>
    <row r="118" spans="1:4" x14ac:dyDescent="0.2">
      <c r="A118" s="5">
        <f>SUM($G$4:$G$103)-2</f>
        <v>12</v>
      </c>
      <c r="B118" s="5">
        <f>INDEX($A$4:$A$103,MATCH(A118,$H$4:$H$103,0))</f>
        <v>78</v>
      </c>
      <c r="C118" s="10">
        <f>INDEX($B$4:$B$103,MATCH(A118,$H$4:$H$103,0))</f>
        <v>3.5</v>
      </c>
    </row>
    <row r="119" spans="1:4" x14ac:dyDescent="0.2">
      <c r="A119" s="5">
        <f>SUM($G$4:$G$103)-1</f>
        <v>13</v>
      </c>
      <c r="B119" s="5">
        <f>INDEX($A$4:$A$103,MATCH(A119,$H$4:$H$103,0))</f>
        <v>86</v>
      </c>
      <c r="C119" s="10">
        <f>INDEX($B$4:$B$103,MATCH(A119,$H$4:$H$103,0))</f>
        <v>3</v>
      </c>
    </row>
    <row r="120" spans="1:4" x14ac:dyDescent="0.2">
      <c r="A120" s="5">
        <f>SUM($G$4:$G$103)-0</f>
        <v>14</v>
      </c>
      <c r="B120" s="5">
        <f>INDEX($A$4:$A$103,MATCH(A120,$H$4:$H$103,0))</f>
        <v>95</v>
      </c>
      <c r="C120" s="10">
        <f>INDEX($B$4:$B$103,MATCH(A120,$H$4:$H$103,0))</f>
        <v>3</v>
      </c>
    </row>
    <row r="122" spans="1:4" ht="16" x14ac:dyDescent="0.2">
      <c r="A122" s="6"/>
      <c r="C122" s="11" t="s">
        <v>63</v>
      </c>
      <c r="D122" s="12">
        <f>AVERAGE(C116:C120)</f>
        <v>2.7</v>
      </c>
    </row>
    <row r="123" spans="1:4" x14ac:dyDescent="0.2">
      <c r="C123" s="2" t="s">
        <v>64</v>
      </c>
    </row>
    <row r="125" spans="1:4" x14ac:dyDescent="0.2">
      <c r="A125" s="13"/>
    </row>
    <row r="128" spans="1:4" x14ac:dyDescent="0.2">
      <c r="A128" s="11" t="s">
        <v>65</v>
      </c>
    </row>
    <row r="129" spans="1:3" x14ac:dyDescent="0.2">
      <c r="A129" s="14" t="s">
        <v>53</v>
      </c>
      <c r="B129" s="14" t="s">
        <v>62</v>
      </c>
      <c r="C129" s="14" t="s">
        <v>66</v>
      </c>
    </row>
    <row r="130" spans="1:3" x14ac:dyDescent="0.2">
      <c r="A130" s="2">
        <v>1</v>
      </c>
      <c r="B130" s="2">
        <f t="shared" ref="B130:B143" si="7">INDEX($A$4:$A$103,MATCH(A130,$H$4:$H$103,0))</f>
        <v>7</v>
      </c>
      <c r="C130" s="2">
        <f t="shared" ref="C130:C143" si="8">INDEX($B$4:$B$103,MATCH(A130,$H$4:$H$103,0))</f>
        <v>1</v>
      </c>
    </row>
    <row r="131" spans="1:3" x14ac:dyDescent="0.2">
      <c r="A131" s="2">
        <v>2</v>
      </c>
      <c r="B131" s="2">
        <f t="shared" si="7"/>
        <v>11</v>
      </c>
      <c r="C131" s="2">
        <f t="shared" si="8"/>
        <v>3</v>
      </c>
    </row>
    <row r="132" spans="1:3" x14ac:dyDescent="0.2">
      <c r="A132" s="2">
        <v>3</v>
      </c>
      <c r="B132" s="2">
        <f t="shared" si="7"/>
        <v>17</v>
      </c>
      <c r="C132" s="2">
        <f t="shared" si="8"/>
        <v>3</v>
      </c>
    </row>
    <row r="133" spans="1:3" x14ac:dyDescent="0.2">
      <c r="A133" s="2">
        <v>4</v>
      </c>
      <c r="B133" s="2">
        <f t="shared" si="7"/>
        <v>26</v>
      </c>
      <c r="C133" s="2">
        <f t="shared" si="8"/>
        <v>3</v>
      </c>
    </row>
    <row r="134" spans="1:3" x14ac:dyDescent="0.2">
      <c r="A134" s="2">
        <v>5</v>
      </c>
      <c r="B134" s="2">
        <f t="shared" si="7"/>
        <v>37</v>
      </c>
      <c r="C134" s="2">
        <f t="shared" si="8"/>
        <v>2</v>
      </c>
    </row>
    <row r="135" spans="1:3" x14ac:dyDescent="0.2">
      <c r="A135" s="2">
        <v>6</v>
      </c>
      <c r="B135" s="2">
        <f t="shared" si="7"/>
        <v>43</v>
      </c>
      <c r="C135" s="2">
        <f t="shared" si="8"/>
        <v>2</v>
      </c>
    </row>
    <row r="136" spans="1:3" x14ac:dyDescent="0.2">
      <c r="A136" s="2">
        <v>7</v>
      </c>
      <c r="B136" s="2">
        <f t="shared" si="7"/>
        <v>48</v>
      </c>
      <c r="C136" s="2">
        <f t="shared" si="8"/>
        <v>2</v>
      </c>
    </row>
    <row r="137" spans="1:3" x14ac:dyDescent="0.2">
      <c r="A137" s="2">
        <v>8</v>
      </c>
      <c r="B137" s="2">
        <f t="shared" si="7"/>
        <v>55</v>
      </c>
      <c r="C137" s="2">
        <f t="shared" si="8"/>
        <v>1.5</v>
      </c>
    </row>
    <row r="138" spans="1:3" x14ac:dyDescent="0.2">
      <c r="A138" s="2">
        <v>9</v>
      </c>
      <c r="B138" s="2">
        <f t="shared" si="7"/>
        <v>62</v>
      </c>
      <c r="C138" s="2">
        <f t="shared" si="8"/>
        <v>1</v>
      </c>
    </row>
    <row r="139" spans="1:3" x14ac:dyDescent="0.2">
      <c r="A139" s="2">
        <v>10</v>
      </c>
      <c r="B139" s="2">
        <f t="shared" si="7"/>
        <v>68</v>
      </c>
      <c r="C139" s="2">
        <f t="shared" si="8"/>
        <v>1</v>
      </c>
    </row>
    <row r="140" spans="1:3" x14ac:dyDescent="0.2">
      <c r="A140" s="2">
        <v>11</v>
      </c>
      <c r="B140" s="2">
        <f t="shared" si="7"/>
        <v>73</v>
      </c>
      <c r="C140" s="2">
        <f t="shared" si="8"/>
        <v>3</v>
      </c>
    </row>
    <row r="141" spans="1:3" x14ac:dyDescent="0.2">
      <c r="A141" s="2">
        <v>12</v>
      </c>
      <c r="B141" s="2">
        <f t="shared" si="7"/>
        <v>78</v>
      </c>
      <c r="C141" s="2">
        <f t="shared" si="8"/>
        <v>3.5</v>
      </c>
    </row>
    <row r="142" spans="1:3" x14ac:dyDescent="0.2">
      <c r="A142" s="2">
        <v>13</v>
      </c>
      <c r="B142" s="2">
        <f t="shared" si="7"/>
        <v>86</v>
      </c>
      <c r="C142" s="2">
        <f t="shared" si="8"/>
        <v>3</v>
      </c>
    </row>
    <row r="143" spans="1:3" x14ac:dyDescent="0.2">
      <c r="A143" s="2">
        <v>14</v>
      </c>
      <c r="B143" s="2">
        <f t="shared" si="7"/>
        <v>95</v>
      </c>
      <c r="C143" s="2">
        <f t="shared" si="8"/>
        <v>3</v>
      </c>
    </row>
    <row r="146" spans="1:2" x14ac:dyDescent="0.2">
      <c r="A146" s="11" t="s">
        <v>67</v>
      </c>
    </row>
    <row r="147" spans="1:2" x14ac:dyDescent="0.2">
      <c r="A147" s="14" t="s">
        <v>46</v>
      </c>
      <c r="B147" s="14" t="s">
        <v>68</v>
      </c>
    </row>
    <row r="148" spans="1:2" x14ac:dyDescent="0.2">
      <c r="A148" s="2">
        <v>1</v>
      </c>
      <c r="B148" s="8">
        <f>$D$122</f>
        <v>2.7</v>
      </c>
    </row>
    <row r="149" spans="1:2" x14ac:dyDescent="0.2">
      <c r="A149" s="2">
        <v>100</v>
      </c>
      <c r="B149" s="8">
        <f>$D$122</f>
        <v>2.7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03"/>
  <sheetViews>
    <sheetView tabSelected="1" topLeftCell="B1" zoomScaleNormal="100" workbookViewId="0">
      <selection activeCell="S35" sqref="S35"/>
    </sheetView>
  </sheetViews>
  <sheetFormatPr baseColWidth="10" defaultColWidth="8.6640625" defaultRowHeight="15" x14ac:dyDescent="0.2"/>
  <cols>
    <col min="2" max="2" width="9" customWidth="1"/>
    <col min="3" max="3" width="14" customWidth="1"/>
    <col min="4" max="4" width="15" customWidth="1"/>
  </cols>
  <sheetData>
    <row r="1" spans="2:4" x14ac:dyDescent="0.2">
      <c r="B1" s="11" t="s">
        <v>46</v>
      </c>
      <c r="C1" s="11" t="s">
        <v>69</v>
      </c>
      <c r="D1" s="11" t="s">
        <v>22</v>
      </c>
    </row>
    <row r="2" spans="2:4" x14ac:dyDescent="0.2">
      <c r="B2" s="2">
        <v>1</v>
      </c>
      <c r="C2" s="2">
        <f>'Raw Data'!V3</f>
        <v>-10</v>
      </c>
      <c r="D2" s="2">
        <f>'Raw Data'!W3</f>
        <v>1</v>
      </c>
    </row>
    <row r="3" spans="2:4" x14ac:dyDescent="0.2">
      <c r="B3" s="2">
        <v>2</v>
      </c>
      <c r="C3" s="2">
        <f>'Raw Data'!V4</f>
        <v>-8</v>
      </c>
      <c r="D3" s="2">
        <f>'Raw Data'!W4</f>
        <v>1</v>
      </c>
    </row>
    <row r="4" spans="2:4" x14ac:dyDescent="0.2">
      <c r="B4" s="2">
        <v>3</v>
      </c>
      <c r="C4" s="2">
        <f>'Raw Data'!V5</f>
        <v>6</v>
      </c>
      <c r="D4" s="2">
        <f>'Raw Data'!W5</f>
        <v>1</v>
      </c>
    </row>
    <row r="5" spans="2:4" x14ac:dyDescent="0.2">
      <c r="B5" s="2">
        <v>4</v>
      </c>
      <c r="C5" s="2">
        <f>'Raw Data'!V6</f>
        <v>4</v>
      </c>
      <c r="D5" s="2">
        <f>'Raw Data'!W6</f>
        <v>1</v>
      </c>
    </row>
    <row r="6" spans="2:4" x14ac:dyDescent="0.2">
      <c r="B6" s="2">
        <v>5</v>
      </c>
      <c r="C6" s="2">
        <f>'Raw Data'!V7</f>
        <v>-2</v>
      </c>
      <c r="D6" s="2">
        <f>'Raw Data'!W7</f>
        <v>1</v>
      </c>
    </row>
    <row r="7" spans="2:4" x14ac:dyDescent="0.2">
      <c r="B7" s="2">
        <v>6</v>
      </c>
      <c r="C7" s="2">
        <f>'Raw Data'!V8</f>
        <v>-1</v>
      </c>
      <c r="D7" s="2">
        <f>'Raw Data'!W8</f>
        <v>1</v>
      </c>
    </row>
    <row r="8" spans="2:4" x14ac:dyDescent="0.2">
      <c r="B8" s="2">
        <v>7</v>
      </c>
      <c r="C8" s="2">
        <f>'Raw Data'!V9</f>
        <v>-1</v>
      </c>
      <c r="D8" s="2">
        <f>'Raw Data'!W9</f>
        <v>0</v>
      </c>
    </row>
    <row r="9" spans="2:4" x14ac:dyDescent="0.2">
      <c r="B9" s="2">
        <v>8</v>
      </c>
      <c r="C9" s="2">
        <f>'Raw Data'!V10</f>
        <v>2</v>
      </c>
      <c r="D9" s="2">
        <f>'Raw Data'!W10</f>
        <v>0</v>
      </c>
    </row>
    <row r="10" spans="2:4" x14ac:dyDescent="0.2">
      <c r="B10" s="2">
        <v>9</v>
      </c>
      <c r="C10" s="2">
        <f>'Raw Data'!V11</f>
        <v>3</v>
      </c>
      <c r="D10" s="2">
        <f>'Raw Data'!W11</f>
        <v>1</v>
      </c>
    </row>
    <row r="11" spans="2:4" x14ac:dyDescent="0.2">
      <c r="B11" s="2">
        <v>10</v>
      </c>
      <c r="C11" s="2">
        <f>'Raw Data'!V12</f>
        <v>3</v>
      </c>
      <c r="D11" s="2">
        <f>'Raw Data'!W12</f>
        <v>1</v>
      </c>
    </row>
    <row r="12" spans="2:4" x14ac:dyDescent="0.2">
      <c r="B12" s="2">
        <v>11</v>
      </c>
      <c r="C12" s="2">
        <f>'Raw Data'!V13</f>
        <v>-3</v>
      </c>
      <c r="D12" s="2">
        <f>'Raw Data'!W13</f>
        <v>0</v>
      </c>
    </row>
    <row r="13" spans="2:4" x14ac:dyDescent="0.2">
      <c r="B13" s="2">
        <v>12</v>
      </c>
      <c r="C13" s="2">
        <f>'Raw Data'!V14</f>
        <v>4</v>
      </c>
      <c r="D13" s="2">
        <f>'Raw Data'!W14</f>
        <v>1</v>
      </c>
    </row>
    <row r="14" spans="2:4" x14ac:dyDescent="0.2">
      <c r="B14" s="2">
        <v>13</v>
      </c>
      <c r="C14" s="2">
        <f>'Raw Data'!V15</f>
        <v>-4</v>
      </c>
      <c r="D14" s="2">
        <f>'Raw Data'!W15</f>
        <v>1</v>
      </c>
    </row>
    <row r="15" spans="2:4" x14ac:dyDescent="0.2">
      <c r="B15" s="2">
        <v>14</v>
      </c>
      <c r="C15" s="2">
        <f>'Raw Data'!V16</f>
        <v>4</v>
      </c>
      <c r="D15" s="2">
        <f>'Raw Data'!W16</f>
        <v>1</v>
      </c>
    </row>
    <row r="16" spans="2:4" x14ac:dyDescent="0.2">
      <c r="B16" s="2">
        <v>15</v>
      </c>
      <c r="C16" s="2">
        <f>'Raw Data'!V17</f>
        <v>3</v>
      </c>
      <c r="D16" s="2">
        <f>'Raw Data'!W17</f>
        <v>1</v>
      </c>
    </row>
    <row r="17" spans="2:4" x14ac:dyDescent="0.2">
      <c r="B17" s="2">
        <v>16</v>
      </c>
      <c r="C17" s="2">
        <f>'Raw Data'!V18</f>
        <v>-3</v>
      </c>
      <c r="D17" s="2">
        <f>'Raw Data'!W18</f>
        <v>1</v>
      </c>
    </row>
    <row r="18" spans="2:4" x14ac:dyDescent="0.2">
      <c r="B18" s="2">
        <v>17</v>
      </c>
      <c r="C18" s="2">
        <f>'Raw Data'!V19</f>
        <v>-3</v>
      </c>
      <c r="D18" s="2">
        <f>'Raw Data'!W19</f>
        <v>0</v>
      </c>
    </row>
    <row r="19" spans="2:4" x14ac:dyDescent="0.2">
      <c r="B19" s="2">
        <v>18</v>
      </c>
      <c r="C19" s="2">
        <f>'Raw Data'!V20</f>
        <v>-3.5</v>
      </c>
      <c r="D19" s="2">
        <f>'Raw Data'!W20</f>
        <v>0</v>
      </c>
    </row>
    <row r="20" spans="2:4" x14ac:dyDescent="0.2">
      <c r="B20" s="2">
        <v>19</v>
      </c>
      <c r="C20" s="2">
        <f>'Raw Data'!V21</f>
        <v>-4</v>
      </c>
      <c r="D20" s="2">
        <f>'Raw Data'!W21</f>
        <v>1</v>
      </c>
    </row>
    <row r="21" spans="2:4" x14ac:dyDescent="0.2">
      <c r="B21" s="2">
        <v>20</v>
      </c>
      <c r="C21" s="2">
        <f>'Raw Data'!V22</f>
        <v>4</v>
      </c>
      <c r="D21" s="2">
        <f>'Raw Data'!W22</f>
        <v>1</v>
      </c>
    </row>
    <row r="22" spans="2:4" x14ac:dyDescent="0.2">
      <c r="B22" s="2">
        <v>21</v>
      </c>
      <c r="C22" s="2">
        <f>'Raw Data'!V23</f>
        <v>4</v>
      </c>
      <c r="D22" s="2">
        <f>'Raw Data'!W23</f>
        <v>1</v>
      </c>
    </row>
    <row r="23" spans="2:4" x14ac:dyDescent="0.2">
      <c r="B23" s="2">
        <v>22</v>
      </c>
      <c r="C23" s="2">
        <f>'Raw Data'!V24</f>
        <v>3.5</v>
      </c>
      <c r="D23" s="2">
        <f>'Raw Data'!W24</f>
        <v>1</v>
      </c>
    </row>
    <row r="24" spans="2:4" x14ac:dyDescent="0.2">
      <c r="B24" s="2">
        <v>23</v>
      </c>
      <c r="C24" s="2">
        <f>'Raw Data'!V25</f>
        <v>-3.5</v>
      </c>
      <c r="D24" s="2">
        <f>'Raw Data'!W25</f>
        <v>1</v>
      </c>
    </row>
    <row r="25" spans="2:4" x14ac:dyDescent="0.2">
      <c r="B25" s="2">
        <v>24</v>
      </c>
      <c r="C25" s="2">
        <f>'Raw Data'!V26</f>
        <v>3.5</v>
      </c>
      <c r="D25" s="2">
        <f>'Raw Data'!W26</f>
        <v>1</v>
      </c>
    </row>
    <row r="26" spans="2:4" x14ac:dyDescent="0.2">
      <c r="B26" s="2">
        <v>25</v>
      </c>
      <c r="C26" s="2">
        <f>'Raw Data'!V27</f>
        <v>3</v>
      </c>
      <c r="D26" s="2">
        <f>'Raw Data'!W27</f>
        <v>1</v>
      </c>
    </row>
    <row r="27" spans="2:4" x14ac:dyDescent="0.2">
      <c r="B27" s="2">
        <v>26</v>
      </c>
      <c r="C27" s="2">
        <f>'Raw Data'!V28</f>
        <v>-3</v>
      </c>
      <c r="D27" s="2">
        <f>'Raw Data'!W28</f>
        <v>0</v>
      </c>
    </row>
    <row r="28" spans="2:4" x14ac:dyDescent="0.2">
      <c r="B28" s="2">
        <v>27</v>
      </c>
      <c r="C28" s="2">
        <f>'Raw Data'!V29</f>
        <v>3.5</v>
      </c>
      <c r="D28" s="2">
        <f>'Raw Data'!W29</f>
        <v>1</v>
      </c>
    </row>
    <row r="29" spans="2:4" x14ac:dyDescent="0.2">
      <c r="B29" s="2">
        <v>28</v>
      </c>
      <c r="C29" s="2">
        <f>'Raw Data'!V30</f>
        <v>-3.5</v>
      </c>
      <c r="D29" s="2">
        <f>'Raw Data'!W30</f>
        <v>1</v>
      </c>
    </row>
    <row r="30" spans="2:4" x14ac:dyDescent="0.2">
      <c r="B30" s="2">
        <v>29</v>
      </c>
      <c r="C30" s="2">
        <f>'Raw Data'!V31</f>
        <v>-3.5</v>
      </c>
      <c r="D30" s="2">
        <f>'Raw Data'!W31</f>
        <v>1</v>
      </c>
    </row>
    <row r="31" spans="2:4" x14ac:dyDescent="0.2">
      <c r="B31" s="2">
        <v>30</v>
      </c>
      <c r="C31" s="2">
        <f>'Raw Data'!V32</f>
        <v>3</v>
      </c>
      <c r="D31" s="2">
        <f>'Raw Data'!W32</f>
        <v>1</v>
      </c>
    </row>
    <row r="32" spans="2:4" x14ac:dyDescent="0.2">
      <c r="B32" s="2">
        <v>31</v>
      </c>
      <c r="C32" s="2">
        <f>'Raw Data'!V33</f>
        <v>3</v>
      </c>
      <c r="D32" s="2">
        <f>'Raw Data'!W33</f>
        <v>1</v>
      </c>
    </row>
    <row r="33" spans="2:4" x14ac:dyDescent="0.2">
      <c r="B33" s="2">
        <v>32</v>
      </c>
      <c r="C33" s="2">
        <f>'Raw Data'!V34</f>
        <v>3</v>
      </c>
      <c r="D33" s="2">
        <f>'Raw Data'!W34</f>
        <v>1</v>
      </c>
    </row>
    <row r="34" spans="2:4" x14ac:dyDescent="0.2">
      <c r="B34" s="2">
        <v>33</v>
      </c>
      <c r="C34" s="2">
        <f>'Raw Data'!V35</f>
        <v>-2.5</v>
      </c>
      <c r="D34" s="2">
        <f>'Raw Data'!W35</f>
        <v>1</v>
      </c>
    </row>
    <row r="35" spans="2:4" x14ac:dyDescent="0.2">
      <c r="B35" s="2">
        <v>34</v>
      </c>
      <c r="C35" s="2">
        <f>'Raw Data'!V36</f>
        <v>-2.5</v>
      </c>
      <c r="D35" s="2">
        <f>'Raw Data'!W36</f>
        <v>1</v>
      </c>
    </row>
    <row r="36" spans="2:4" x14ac:dyDescent="0.2">
      <c r="B36" s="2">
        <v>35</v>
      </c>
      <c r="C36" s="2">
        <f>'Raw Data'!V37</f>
        <v>-2.5</v>
      </c>
      <c r="D36" s="2">
        <f>'Raw Data'!W37</f>
        <v>1</v>
      </c>
    </row>
    <row r="37" spans="2:4" x14ac:dyDescent="0.2">
      <c r="B37" s="2">
        <v>36</v>
      </c>
      <c r="C37" s="2">
        <f>'Raw Data'!V38</f>
        <v>-2</v>
      </c>
      <c r="D37" s="2">
        <f>'Raw Data'!W38</f>
        <v>1</v>
      </c>
    </row>
    <row r="38" spans="2:4" x14ac:dyDescent="0.2">
      <c r="B38" s="2">
        <v>37</v>
      </c>
      <c r="C38" s="2">
        <f>'Raw Data'!V39</f>
        <v>2</v>
      </c>
      <c r="D38" s="2">
        <f>'Raw Data'!W39</f>
        <v>0</v>
      </c>
    </row>
    <row r="39" spans="2:4" x14ac:dyDescent="0.2">
      <c r="B39" s="2">
        <v>38</v>
      </c>
      <c r="C39" s="2">
        <f>'Raw Data'!V40</f>
        <v>-2.5</v>
      </c>
      <c r="D39" s="2">
        <f>'Raw Data'!W40</f>
        <v>1</v>
      </c>
    </row>
    <row r="40" spans="2:4" x14ac:dyDescent="0.2">
      <c r="B40" s="2">
        <v>39</v>
      </c>
      <c r="C40" s="2">
        <f>'Raw Data'!V41</f>
        <v>2.5</v>
      </c>
      <c r="D40" s="2">
        <f>'Raw Data'!W41</f>
        <v>1</v>
      </c>
    </row>
    <row r="41" spans="2:4" x14ac:dyDescent="0.2">
      <c r="B41" s="2">
        <v>40</v>
      </c>
      <c r="C41" s="2">
        <f>'Raw Data'!V42</f>
        <v>2.5</v>
      </c>
      <c r="D41" s="2">
        <f>'Raw Data'!W42</f>
        <v>1</v>
      </c>
    </row>
    <row r="42" spans="2:4" x14ac:dyDescent="0.2">
      <c r="B42" s="2">
        <v>41</v>
      </c>
      <c r="C42" s="2">
        <f>'Raw Data'!V43</f>
        <v>-2</v>
      </c>
      <c r="D42" s="2">
        <f>'Raw Data'!W43</f>
        <v>1</v>
      </c>
    </row>
    <row r="43" spans="2:4" x14ac:dyDescent="0.2">
      <c r="B43" s="2">
        <v>42</v>
      </c>
      <c r="C43" s="2">
        <f>'Raw Data'!V44</f>
        <v>2</v>
      </c>
      <c r="D43" s="2">
        <f>'Raw Data'!W44</f>
        <v>1</v>
      </c>
    </row>
    <row r="44" spans="2:4" x14ac:dyDescent="0.2">
      <c r="B44" s="2">
        <v>43</v>
      </c>
      <c r="C44" s="2">
        <f>'Raw Data'!V45</f>
        <v>2</v>
      </c>
      <c r="D44" s="2">
        <f>'Raw Data'!W45</f>
        <v>0</v>
      </c>
    </row>
    <row r="45" spans="2:4" x14ac:dyDescent="0.2">
      <c r="B45" s="2">
        <v>44</v>
      </c>
      <c r="C45" s="2">
        <f>'Raw Data'!V46</f>
        <v>-2.5</v>
      </c>
      <c r="D45" s="2">
        <f>'Raw Data'!W46</f>
        <v>1</v>
      </c>
    </row>
    <row r="46" spans="2:4" x14ac:dyDescent="0.2">
      <c r="B46" s="2">
        <v>45</v>
      </c>
      <c r="C46" s="2">
        <f>'Raw Data'!V47</f>
        <v>-2.5</v>
      </c>
      <c r="D46" s="2">
        <f>'Raw Data'!W47</f>
        <v>1</v>
      </c>
    </row>
    <row r="47" spans="2:4" x14ac:dyDescent="0.2">
      <c r="B47" s="2">
        <v>46</v>
      </c>
      <c r="C47" s="2">
        <f>'Raw Data'!V48</f>
        <v>2.5</v>
      </c>
      <c r="D47" s="2">
        <f>'Raw Data'!W48</f>
        <v>1</v>
      </c>
    </row>
    <row r="48" spans="2:4" x14ac:dyDescent="0.2">
      <c r="B48" s="2">
        <v>47</v>
      </c>
      <c r="C48" s="2">
        <f>'Raw Data'!V49</f>
        <v>2</v>
      </c>
      <c r="D48" s="2">
        <f>'Raw Data'!W49</f>
        <v>1</v>
      </c>
    </row>
    <row r="49" spans="2:4" x14ac:dyDescent="0.2">
      <c r="B49" s="2">
        <v>48</v>
      </c>
      <c r="C49" s="2">
        <f>'Raw Data'!V50</f>
        <v>2</v>
      </c>
      <c r="D49" s="2">
        <f>'Raw Data'!W50</f>
        <v>0</v>
      </c>
    </row>
    <row r="50" spans="2:4" x14ac:dyDescent="0.2">
      <c r="B50" s="2">
        <v>49</v>
      </c>
      <c r="C50" s="2">
        <f>'Raw Data'!V51</f>
        <v>-2.5</v>
      </c>
      <c r="D50" s="2">
        <f>'Raw Data'!W51</f>
        <v>1</v>
      </c>
    </row>
    <row r="51" spans="2:4" x14ac:dyDescent="0.2">
      <c r="B51" s="2">
        <v>50</v>
      </c>
      <c r="C51" s="2">
        <f>'Raw Data'!V52</f>
        <v>2.5</v>
      </c>
      <c r="D51" s="2">
        <f>'Raw Data'!W52</f>
        <v>1</v>
      </c>
    </row>
    <row r="52" spans="2:4" x14ac:dyDescent="0.2">
      <c r="B52" s="2">
        <v>51</v>
      </c>
      <c r="C52" s="2">
        <f>'Raw Data'!V53</f>
        <v>-2.5</v>
      </c>
      <c r="D52" s="2">
        <f>'Raw Data'!W53</f>
        <v>1</v>
      </c>
    </row>
    <row r="53" spans="2:4" x14ac:dyDescent="0.2">
      <c r="B53" s="2">
        <v>52</v>
      </c>
      <c r="C53" s="2">
        <f>'Raw Data'!V54</f>
        <v>2</v>
      </c>
      <c r="D53" s="2">
        <f>'Raw Data'!W54</f>
        <v>1</v>
      </c>
    </row>
    <row r="54" spans="2:4" x14ac:dyDescent="0.2">
      <c r="B54" s="2">
        <v>53</v>
      </c>
      <c r="C54" s="2">
        <f>'Raw Data'!V55</f>
        <v>-2</v>
      </c>
      <c r="D54" s="2">
        <f>'Raw Data'!W55</f>
        <v>1</v>
      </c>
    </row>
    <row r="55" spans="2:4" x14ac:dyDescent="0.2">
      <c r="B55" s="2">
        <v>54</v>
      </c>
      <c r="C55" s="2">
        <f>'Raw Data'!V56</f>
        <v>2</v>
      </c>
      <c r="D55" s="2">
        <f>'Raw Data'!W56</f>
        <v>1</v>
      </c>
    </row>
    <row r="56" spans="2:4" x14ac:dyDescent="0.2">
      <c r="B56" s="2">
        <v>55</v>
      </c>
      <c r="C56" s="2">
        <f>'Raw Data'!V57</f>
        <v>1.5</v>
      </c>
      <c r="D56" s="2">
        <f>'Raw Data'!W57</f>
        <v>0</v>
      </c>
    </row>
    <row r="57" spans="2:4" x14ac:dyDescent="0.2">
      <c r="B57" s="2">
        <v>56</v>
      </c>
      <c r="C57" s="2">
        <f>'Raw Data'!V58</f>
        <v>-2</v>
      </c>
      <c r="D57" s="2">
        <f>'Raw Data'!W58</f>
        <v>1</v>
      </c>
    </row>
    <row r="58" spans="2:4" x14ac:dyDescent="0.2">
      <c r="B58" s="2">
        <v>57</v>
      </c>
      <c r="C58" s="2">
        <f>'Raw Data'!V59</f>
        <v>-2</v>
      </c>
      <c r="D58" s="2">
        <f>'Raw Data'!W59</f>
        <v>1</v>
      </c>
    </row>
    <row r="59" spans="2:4" x14ac:dyDescent="0.2">
      <c r="B59" s="2">
        <v>58</v>
      </c>
      <c r="C59" s="2">
        <f>'Raw Data'!V60</f>
        <v>-2</v>
      </c>
      <c r="D59" s="2">
        <f>'Raw Data'!W60</f>
        <v>1</v>
      </c>
    </row>
    <row r="60" spans="2:4" x14ac:dyDescent="0.2">
      <c r="B60" s="2">
        <v>59</v>
      </c>
      <c r="C60" s="2">
        <f>'Raw Data'!V61</f>
        <v>-1.5</v>
      </c>
      <c r="D60" s="2">
        <f>'Raw Data'!W61</f>
        <v>1</v>
      </c>
    </row>
    <row r="61" spans="2:4" x14ac:dyDescent="0.2">
      <c r="B61" s="2">
        <v>60</v>
      </c>
      <c r="C61" s="2">
        <f>'Raw Data'!V62</f>
        <v>-1.5</v>
      </c>
      <c r="D61" s="2">
        <f>'Raw Data'!W62</f>
        <v>1</v>
      </c>
    </row>
    <row r="62" spans="2:4" x14ac:dyDescent="0.2">
      <c r="B62" s="2">
        <v>61</v>
      </c>
      <c r="C62" s="2">
        <f>'Raw Data'!V63</f>
        <v>-1.5</v>
      </c>
      <c r="D62" s="2">
        <f>'Raw Data'!W63</f>
        <v>1</v>
      </c>
    </row>
    <row r="63" spans="2:4" x14ac:dyDescent="0.2">
      <c r="B63" s="2">
        <v>62</v>
      </c>
      <c r="C63" s="2">
        <f>'Raw Data'!V64</f>
        <v>1</v>
      </c>
      <c r="D63" s="2">
        <f>'Raw Data'!W64</f>
        <v>0</v>
      </c>
    </row>
    <row r="64" spans="2:4" x14ac:dyDescent="0.2">
      <c r="B64" s="2">
        <v>63</v>
      </c>
      <c r="C64" s="2">
        <f>'Raw Data'!V65</f>
        <v>-1.5</v>
      </c>
      <c r="D64" s="2">
        <f>'Raw Data'!W65</f>
        <v>1</v>
      </c>
    </row>
    <row r="65" spans="2:4" x14ac:dyDescent="0.2">
      <c r="B65" s="2">
        <v>64</v>
      </c>
      <c r="C65" s="2">
        <f>'Raw Data'!V66</f>
        <v>1.5</v>
      </c>
      <c r="D65" s="2">
        <f>'Raw Data'!W66</f>
        <v>1</v>
      </c>
    </row>
    <row r="66" spans="2:4" x14ac:dyDescent="0.2">
      <c r="B66" s="2">
        <v>65</v>
      </c>
      <c r="C66" s="2">
        <f>'Raw Data'!V67</f>
        <v>-1.5</v>
      </c>
      <c r="D66" s="2">
        <f>'Raw Data'!W67</f>
        <v>1</v>
      </c>
    </row>
    <row r="67" spans="2:4" x14ac:dyDescent="0.2">
      <c r="B67" s="2">
        <v>66</v>
      </c>
      <c r="C67" s="2">
        <f>'Raw Data'!V68</f>
        <v>-1</v>
      </c>
      <c r="D67" s="2">
        <f>'Raw Data'!W68</f>
        <v>1</v>
      </c>
    </row>
    <row r="68" spans="2:4" x14ac:dyDescent="0.2">
      <c r="B68" s="2">
        <v>67</v>
      </c>
      <c r="C68" s="2">
        <f>'Raw Data'!V69</f>
        <v>-1</v>
      </c>
      <c r="D68" s="2">
        <f>'Raw Data'!W69</f>
        <v>1</v>
      </c>
    </row>
    <row r="69" spans="2:4" x14ac:dyDescent="0.2">
      <c r="B69" s="2">
        <v>68</v>
      </c>
      <c r="C69" s="2">
        <f>'Raw Data'!V70</f>
        <v>1</v>
      </c>
      <c r="D69" s="2">
        <f>'Raw Data'!W70</f>
        <v>0</v>
      </c>
    </row>
    <row r="70" spans="2:4" x14ac:dyDescent="0.2">
      <c r="B70" s="2">
        <v>69</v>
      </c>
      <c r="C70" s="2">
        <f>'Raw Data'!V71</f>
        <v>1.5</v>
      </c>
      <c r="D70" s="2">
        <f>'Raw Data'!W71</f>
        <v>0</v>
      </c>
    </row>
    <row r="71" spans="2:4" x14ac:dyDescent="0.2">
      <c r="B71" s="2">
        <v>70</v>
      </c>
      <c r="C71" s="2">
        <f>'Raw Data'!V72</f>
        <v>2</v>
      </c>
      <c r="D71" s="2">
        <f>'Raw Data'!W72</f>
        <v>0</v>
      </c>
    </row>
    <row r="72" spans="2:4" x14ac:dyDescent="0.2">
      <c r="B72" s="2">
        <v>71</v>
      </c>
      <c r="C72" s="2">
        <f>'Raw Data'!V73</f>
        <v>2.5</v>
      </c>
      <c r="D72" s="2">
        <f>'Raw Data'!W73</f>
        <v>0</v>
      </c>
    </row>
    <row r="73" spans="2:4" x14ac:dyDescent="0.2">
      <c r="B73" s="2">
        <v>72</v>
      </c>
      <c r="C73" s="2">
        <f>'Raw Data'!V74</f>
        <v>-3</v>
      </c>
      <c r="D73" s="2">
        <f>'Raw Data'!W74</f>
        <v>1</v>
      </c>
    </row>
    <row r="74" spans="2:4" x14ac:dyDescent="0.2">
      <c r="B74" s="2">
        <v>73</v>
      </c>
      <c r="C74" s="2">
        <f>'Raw Data'!V75</f>
        <v>3</v>
      </c>
      <c r="D74" s="2">
        <f>'Raw Data'!W75</f>
        <v>0</v>
      </c>
    </row>
    <row r="75" spans="2:4" x14ac:dyDescent="0.2">
      <c r="B75" s="2">
        <v>74</v>
      </c>
      <c r="C75" s="2">
        <f>'Raw Data'!V76</f>
        <v>3.5</v>
      </c>
      <c r="D75" s="2">
        <f>'Raw Data'!W76</f>
        <v>0</v>
      </c>
    </row>
    <row r="76" spans="2:4" x14ac:dyDescent="0.2">
      <c r="B76" s="2">
        <v>75</v>
      </c>
      <c r="C76" s="2">
        <f>'Raw Data'!V77</f>
        <v>-4</v>
      </c>
      <c r="D76" s="2">
        <f>'Raw Data'!W77</f>
        <v>1</v>
      </c>
    </row>
    <row r="77" spans="2:4" x14ac:dyDescent="0.2">
      <c r="B77" s="2">
        <v>76</v>
      </c>
      <c r="C77" s="2">
        <f>'Raw Data'!V78</f>
        <v>-4</v>
      </c>
      <c r="D77" s="2">
        <f>'Raw Data'!W78</f>
        <v>1</v>
      </c>
    </row>
    <row r="78" spans="2:4" x14ac:dyDescent="0.2">
      <c r="B78" s="2">
        <v>77</v>
      </c>
      <c r="C78" s="2">
        <f>'Raw Data'!V79</f>
        <v>-4</v>
      </c>
      <c r="D78" s="2">
        <f>'Raw Data'!W79</f>
        <v>1</v>
      </c>
    </row>
    <row r="79" spans="2:4" x14ac:dyDescent="0.2">
      <c r="B79" s="2">
        <v>78</v>
      </c>
      <c r="C79" s="2">
        <f>'Raw Data'!V80</f>
        <v>3.5</v>
      </c>
      <c r="D79" s="2">
        <f>'Raw Data'!W80</f>
        <v>0</v>
      </c>
    </row>
    <row r="80" spans="2:4" x14ac:dyDescent="0.2">
      <c r="B80" s="2">
        <v>79</v>
      </c>
      <c r="C80" s="2">
        <f>'Raw Data'!V81</f>
        <v>-4</v>
      </c>
      <c r="D80" s="2">
        <f>'Raw Data'!W81</f>
        <v>1</v>
      </c>
    </row>
    <row r="81" spans="2:4" x14ac:dyDescent="0.2">
      <c r="B81" s="2">
        <v>80</v>
      </c>
      <c r="C81" s="2">
        <f>'Raw Data'!V82</f>
        <v>4</v>
      </c>
      <c r="D81" s="2">
        <f>'Raw Data'!W82</f>
        <v>1</v>
      </c>
    </row>
    <row r="82" spans="2:4" x14ac:dyDescent="0.2">
      <c r="B82" s="2">
        <v>81</v>
      </c>
      <c r="C82" s="2">
        <f>'Raw Data'!V83</f>
        <v>4</v>
      </c>
      <c r="D82" s="2">
        <f>'Raw Data'!W83</f>
        <v>1</v>
      </c>
    </row>
    <row r="83" spans="2:4" x14ac:dyDescent="0.2">
      <c r="B83" s="2">
        <v>82</v>
      </c>
      <c r="C83" s="2">
        <f>'Raw Data'!V84</f>
        <v>-3.5</v>
      </c>
      <c r="D83" s="2">
        <f>'Raw Data'!W84</f>
        <v>1</v>
      </c>
    </row>
    <row r="84" spans="2:4" x14ac:dyDescent="0.2">
      <c r="B84" s="2">
        <v>83</v>
      </c>
      <c r="C84" s="2">
        <f>'Raw Data'!V85</f>
        <v>3.5</v>
      </c>
      <c r="D84" s="2">
        <f>'Raw Data'!W85</f>
        <v>1</v>
      </c>
    </row>
    <row r="85" spans="2:4" x14ac:dyDescent="0.2">
      <c r="B85" s="2">
        <v>84</v>
      </c>
      <c r="C85" s="2">
        <f>'Raw Data'!V86</f>
        <v>-3.5</v>
      </c>
      <c r="D85" s="2">
        <f>'Raw Data'!W86</f>
        <v>1</v>
      </c>
    </row>
    <row r="86" spans="2:4" x14ac:dyDescent="0.2">
      <c r="B86" s="2">
        <v>85</v>
      </c>
      <c r="C86" s="2">
        <f>'Raw Data'!V87</f>
        <v>3</v>
      </c>
      <c r="D86" s="2">
        <f>'Raw Data'!W87</f>
        <v>1</v>
      </c>
    </row>
    <row r="87" spans="2:4" x14ac:dyDescent="0.2">
      <c r="B87" s="2">
        <v>86</v>
      </c>
      <c r="C87" s="2">
        <f>'Raw Data'!V88</f>
        <v>3</v>
      </c>
      <c r="D87" s="2">
        <f>'Raw Data'!W88</f>
        <v>0</v>
      </c>
    </row>
    <row r="88" spans="2:4" x14ac:dyDescent="0.2">
      <c r="B88" s="2">
        <v>87</v>
      </c>
      <c r="C88" s="2">
        <f>'Raw Data'!V89</f>
        <v>-3.5</v>
      </c>
      <c r="D88" s="2">
        <f>'Raw Data'!W89</f>
        <v>0</v>
      </c>
    </row>
    <row r="89" spans="2:4" x14ac:dyDescent="0.2">
      <c r="B89" s="2">
        <v>88</v>
      </c>
      <c r="C89" s="2">
        <f>'Raw Data'!V90</f>
        <v>-4</v>
      </c>
      <c r="D89" s="2">
        <f>'Raw Data'!W90</f>
        <v>1</v>
      </c>
    </row>
    <row r="90" spans="2:4" x14ac:dyDescent="0.2">
      <c r="B90" s="2">
        <v>89</v>
      </c>
      <c r="C90" s="2">
        <f>'Raw Data'!V91</f>
        <v>-4</v>
      </c>
      <c r="D90" s="2">
        <f>'Raw Data'!W91</f>
        <v>1</v>
      </c>
    </row>
    <row r="91" spans="2:4" x14ac:dyDescent="0.2">
      <c r="B91" s="2">
        <v>90</v>
      </c>
      <c r="C91" s="2">
        <f>'Raw Data'!V92</f>
        <v>-4</v>
      </c>
      <c r="D91" s="2">
        <f>'Raw Data'!W92</f>
        <v>1</v>
      </c>
    </row>
    <row r="92" spans="2:4" x14ac:dyDescent="0.2">
      <c r="B92" s="2">
        <v>91</v>
      </c>
      <c r="C92" s="2">
        <f>'Raw Data'!V93</f>
        <v>-3.5</v>
      </c>
      <c r="D92" s="2">
        <f>'Raw Data'!W93</f>
        <v>1</v>
      </c>
    </row>
    <row r="93" spans="2:4" x14ac:dyDescent="0.2">
      <c r="B93" s="2">
        <v>92</v>
      </c>
      <c r="C93" s="2">
        <f>'Raw Data'!V94</f>
        <v>-3.5</v>
      </c>
      <c r="D93" s="2">
        <f>'Raw Data'!W94</f>
        <v>1</v>
      </c>
    </row>
    <row r="94" spans="2:4" x14ac:dyDescent="0.2">
      <c r="B94" s="2">
        <v>93</v>
      </c>
      <c r="C94" s="2">
        <f>'Raw Data'!V95</f>
        <v>-3.5</v>
      </c>
      <c r="D94" s="2">
        <f>'Raw Data'!W95</f>
        <v>1</v>
      </c>
    </row>
    <row r="95" spans="2:4" x14ac:dyDescent="0.2">
      <c r="B95" s="2">
        <v>94</v>
      </c>
      <c r="C95" s="2">
        <f>'Raw Data'!V96</f>
        <v>-3</v>
      </c>
      <c r="D95" s="2">
        <f>'Raw Data'!W96</f>
        <v>1</v>
      </c>
    </row>
    <row r="96" spans="2:4" x14ac:dyDescent="0.2">
      <c r="B96" s="2">
        <v>95</v>
      </c>
      <c r="C96" s="2">
        <f>'Raw Data'!V97</f>
        <v>3</v>
      </c>
      <c r="D96" s="2">
        <f>'Raw Data'!W97</f>
        <v>0</v>
      </c>
    </row>
    <row r="97" spans="2:4" x14ac:dyDescent="0.2">
      <c r="B97" s="2">
        <v>96</v>
      </c>
      <c r="C97" s="2">
        <f>'Raw Data'!V98</f>
        <v>-3.5</v>
      </c>
      <c r="D97" s="2">
        <f>'Raw Data'!W98</f>
        <v>1</v>
      </c>
    </row>
    <row r="98" spans="2:4" x14ac:dyDescent="0.2">
      <c r="B98" s="2">
        <v>97</v>
      </c>
      <c r="C98" s="2">
        <f>'Raw Data'!V99</f>
        <v>3.5</v>
      </c>
      <c r="D98" s="2">
        <f>'Raw Data'!W99</f>
        <v>1</v>
      </c>
    </row>
    <row r="99" spans="2:4" x14ac:dyDescent="0.2">
      <c r="B99" s="2">
        <v>98</v>
      </c>
      <c r="C99" s="2">
        <f>'Raw Data'!V100</f>
        <v>-3.5</v>
      </c>
      <c r="D99" s="2">
        <f>'Raw Data'!W100</f>
        <v>1</v>
      </c>
    </row>
    <row r="100" spans="2:4" x14ac:dyDescent="0.2">
      <c r="B100" s="2">
        <v>99</v>
      </c>
      <c r="C100" s="2">
        <f>'Raw Data'!V101</f>
        <v>-3</v>
      </c>
      <c r="D100" s="2">
        <f>'Raw Data'!W101</f>
        <v>1</v>
      </c>
    </row>
    <row r="101" spans="2:4" x14ac:dyDescent="0.2">
      <c r="B101" s="2">
        <v>100</v>
      </c>
      <c r="C101" s="2">
        <f>'Raw Data'!V102</f>
        <v>-3</v>
      </c>
      <c r="D101" s="2">
        <f>'Raw Data'!W102</f>
        <v>1</v>
      </c>
    </row>
    <row r="103" spans="2:4" x14ac:dyDescent="0.2">
      <c r="C103" s="11" t="s">
        <v>70</v>
      </c>
      <c r="D103" s="11">
        <f>SUM(D2:D101)</f>
        <v>79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anaya talesra</cp:lastModifiedBy>
  <cp:revision>1</cp:revision>
  <dcterms:created xsi:type="dcterms:W3CDTF">2026-09-08T20:10:28Z</dcterms:created>
  <dcterms:modified xsi:type="dcterms:W3CDTF">2026-09-09T10:33:58Z</dcterms:modified>
  <dc:language>en-US</dc:language>
</cp:coreProperties>
</file>